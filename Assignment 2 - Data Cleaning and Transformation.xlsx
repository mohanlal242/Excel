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 ML\"/>
    </mc:Choice>
  </mc:AlternateContent>
  <bookViews>
    <workbookView xWindow="0" yWindow="0" windowWidth="7476" windowHeight="2808" activeTab="2"/>
  </bookViews>
  <sheets>
    <sheet name="Raw Dataset" sheetId="2" r:id="rId1"/>
    <sheet name="Imputed Data" sheetId="3" r:id="rId2"/>
    <sheet name="Answer" sheetId="4" r:id="rId3"/>
  </sheets>
  <definedNames>
    <definedName name="_xlnm._FilterDatabase" localSheetId="1" hidden="1">'Imputed Data'!$B$1:$B$36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G2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26" i="3"/>
  <c r="G27" i="3"/>
  <c r="G28" i="3"/>
  <c r="G29" i="3"/>
  <c r="G30" i="3"/>
  <c r="G31" i="3"/>
  <c r="G3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G2" i="3"/>
  <c r="A36" i="3"/>
</calcChain>
</file>

<file path=xl/sharedStrings.xml><?xml version="1.0" encoding="utf-8"?>
<sst xmlns="http://schemas.openxmlformats.org/spreadsheetml/2006/main" count="370" uniqueCount="148">
  <si>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</si>
  <si>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</si>
  <si>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</si>
  <si>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</si>
  <si>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</si>
  <si>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</si>
  <si>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</si>
  <si>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</si>
  <si>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</si>
  <si>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</si>
  <si>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</si>
  <si>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</si>
  <si>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</si>
  <si>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</si>
  <si>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</si>
  <si>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</si>
  <si>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</si>
  <si>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</si>
  <si>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</si>
  <si>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</si>
  <si>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</si>
  <si>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</si>
  <si>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</si>
  <si>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</si>
  <si>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</si>
  <si>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</si>
  <si>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</si>
  <si>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</si>
  <si>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</si>
  <si>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</si>
  <si>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</si>
  <si>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</si>
  <si>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</si>
  <si>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</si>
  <si>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</si>
  <si>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</si>
  <si>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</si>
  <si>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</si>
  <si>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</si>
  <si>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</si>
  <si>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</si>
  <si>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</si>
  <si>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</si>
  <si>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</si>
  <si>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</si>
  <si>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</si>
  <si>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</si>
  <si>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</si>
  <si>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</si>
  <si>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</si>
  <si>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</si>
  <si>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</si>
  <si>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</si>
  <si>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</si>
  <si>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</si>
  <si>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</si>
  <si>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</si>
  <si>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</si>
  <si>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</si>
  <si>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</si>
  <si>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</si>
  <si>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</si>
  <si>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</si>
  <si>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</si>
  <si>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</si>
  <si>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</si>
  <si>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</si>
  <si>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</si>
  <si>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</si>
  <si>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</si>
  <si>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</si>
  <si>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</si>
  <si>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</si>
  <si>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</si>
  <si>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</si>
  <si>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</si>
  <si>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</si>
  <si>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</si>
  <si>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</si>
  <si>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</si>
  <si>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</si>
  <si>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</si>
  <si>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</si>
  <si>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</si>
  <si>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</si>
  <si>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</si>
  <si>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</si>
  <si>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</si>
  <si>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</si>
  <si>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</si>
  <si>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</si>
  <si>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</si>
  <si>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</si>
  <si>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</si>
  <si>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</si>
  <si>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</si>
  <si>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</si>
  <si>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Checking for Missing Values</t>
  </si>
  <si>
    <t>price imputed</t>
  </si>
  <si>
    <t>uppercase imputed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</si>
  <si>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</si>
  <si>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</si>
  <si>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</si>
  <si>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</si>
  <si>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</si>
  <si>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</si>
  <si>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</si>
  <si>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</si>
  <si>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</si>
  <si>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</si>
  <si>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</si>
  <si>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</si>
  <si>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</si>
  <si>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</si>
  <si>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</si>
  <si>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</si>
  <si>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</si>
  <si>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</si>
  <si>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</si>
  <si>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</si>
  <si>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</si>
  <si>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</si>
  <si>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</si>
  <si>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</si>
  <si>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</si>
  <si>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</si>
  <si>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</si>
  <si>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</si>
  <si>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</si>
  <si>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</si>
  <si>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</si>
  <si>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</si>
  <si>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</si>
  <si>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</si>
  <si>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</si>
  <si>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</si>
  <si>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</si>
  <si>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</si>
  <si>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</si>
  <si>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</si>
  <si>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</si>
  <si>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</si>
  <si>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</si>
  <si>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</si>
  <si>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</si>
  <si>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Product Brand</t>
  </si>
  <si>
    <t>Category imputed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</si>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</sst>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&quot;$&quot;#,##0.00"/>
    <numFmt numFmtId="179" formatCode="[$-409]d\-mmm\-yy;@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175" fontId="0" fillId="0" borderId="0" xfId="0" applyNumberFormat="1" applyFont="1" applyAlignmen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 applyFont="1" applyAlignment="1"/>
    <xf numFmtId="179" fontId="0" fillId="0" borderId="0" xfId="0" applyNumberFormat="1" applyFont="1" applyAlignment="1"/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center"/>
    </xf>
    <xf numFmtId="179" fontId="0" fillId="0" borderId="0" xfId="0" applyNumberFormat="1" applyFont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7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175" fontId="0" fillId="0" borderId="1" xfId="0" applyNumberFormat="1" applyFont="1" applyBorder="1" applyAlignment="1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30"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zoomScaleNormal="100" workbookViewId="0">
      <selection activeCell="H8" sqref="H8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K4" s="5"/>
      <c r="L4" s="5"/>
      <c r="M4" s="5"/>
      <c r="N4" s="5"/>
      <c r="O4" s="5"/>
      <c r="P4" s="5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6"/>
      <c r="K5" s="5"/>
      <c r="L5" s="5"/>
      <c r="M5" s="5"/>
      <c r="N5" s="5"/>
      <c r="O5" s="5"/>
      <c r="P5" s="5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G36" sqref="G36"/>
    </sheetView>
  </sheetViews>
  <sheetFormatPr defaultRowHeight="13.2"/>
  <cols>
    <col min="1" max="1" width="25" bestFit="1" customWidth="1"/>
    <col min="2" max="2" width="13.6640625" style="11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3.88671875" bestFit="1" customWidth="1"/>
    <col min="7" max="7" width="12.88671875" style="7" bestFit="1" customWidth="1"/>
    <col min="8" max="8" width="17.88671875" bestFit="1" customWidth="1"/>
    <col min="9" max="9" width="18.21875" bestFit="1" customWidth="1"/>
    <col min="10" max="10" width="13.33203125" bestFit="1" customWidth="1"/>
    <col min="11" max="11" width="21.44140625" customWidth="1"/>
    <col min="12" max="12" width="16.6640625" bestFit="1" customWidth="1"/>
  </cols>
  <sheetData>
    <row r="1" spans="1:12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8" t="s">
        <v>99</v>
      </c>
      <c r="I1" s="8" t="s">
        <v>100</v>
      </c>
      <c r="J1" s="8" t="s">
        <v>101</v>
      </c>
      <c r="K1" s="17" t="s">
        <v>145</v>
      </c>
      <c r="L1" s="23" t="s">
        <v>146</v>
      </c>
    </row>
    <row r="2" spans="1:12">
      <c r="A2" s="2" t="s">
        <v>6</v>
      </c>
      <c r="B2" s="9" t="s">
        <v>7</v>
      </c>
      <c r="C2" s="13" t="s">
        <v>8</v>
      </c>
      <c r="D2" s="2">
        <v>1000</v>
      </c>
      <c r="E2" s="2">
        <v>30</v>
      </c>
      <c r="F2" s="13" t="s">
        <v>9</v>
      </c>
      <c r="G2" s="7">
        <f>IF(ISBLANK(D2),AVERAGEIF($B$2:$B$32,B2,$D$2:$D$32),D2)</f>
        <v>1000</v>
      </c>
      <c r="H2" t="str">
        <f>PROPER(B2)</f>
        <v>Laptop</v>
      </c>
      <c r="I2" s="12">
        <f>DATEVALUE(LEFT(A2,6))</f>
        <v>46050</v>
      </c>
      <c r="J2" t="str">
        <f>RIGHT(A2,2)</f>
        <v>US</v>
      </c>
      <c r="K2" t="str">
        <f>H2:H32&amp;" "&amp;C2:C32</f>
        <v>Laptop Dell</v>
      </c>
      <c r="L2" t="str">
        <f>IF(ISBLANK(F2),"Unknown",F2)</f>
        <v>Electronics</v>
      </c>
    </row>
    <row r="3" spans="1:12">
      <c r="A3" s="3" t="s">
        <v>10</v>
      </c>
      <c r="B3" s="10" t="s">
        <v>11</v>
      </c>
      <c r="C3" s="3" t="s">
        <v>12</v>
      </c>
      <c r="D3" s="3">
        <v>80</v>
      </c>
      <c r="E3" s="3">
        <v>15</v>
      </c>
      <c r="F3" s="3" t="s">
        <v>13</v>
      </c>
      <c r="G3" s="7">
        <f t="shared" ref="G3:G32" si="0">IF(ISBLANK(D3),AVERAGEIF($B$2:$B$32,B3,$D$2:$D$32),D3)</f>
        <v>80</v>
      </c>
      <c r="H3" t="str">
        <f t="shared" ref="H3:H32" si="1">PROPER(B3)</f>
        <v>Sneakers</v>
      </c>
      <c r="I3" s="12">
        <f t="shared" ref="I3:I32" si="2">DATEVALUE(LEFT(A3,6))</f>
        <v>46068</v>
      </c>
      <c r="J3" t="str">
        <f t="shared" ref="J3:J32" si="3">RIGHT(A3,2)</f>
        <v>US</v>
      </c>
      <c r="K3" t="str">
        <f t="shared" ref="K3:K32" si="4">H3:H33&amp;" "&amp;C3:C33</f>
        <v>Sneakers Nike</v>
      </c>
      <c r="L3" t="str">
        <f t="shared" ref="L3:L32" si="5">IF(ISBLANK(F3),"Unknown",F3)</f>
        <v>Fashion</v>
      </c>
    </row>
    <row r="4" spans="1:12">
      <c r="A4" s="2" t="s">
        <v>14</v>
      </c>
      <c r="B4" s="9" t="s">
        <v>15</v>
      </c>
      <c r="C4" s="2" t="s">
        <v>16</v>
      </c>
      <c r="D4" s="2">
        <v>130</v>
      </c>
      <c r="E4" s="2">
        <v>40</v>
      </c>
      <c r="F4" s="2" t="s">
        <v>17</v>
      </c>
      <c r="G4" s="7">
        <f t="shared" si="0"/>
        <v>130</v>
      </c>
      <c r="H4" t="str">
        <f t="shared" si="1"/>
        <v>Coffee Maker</v>
      </c>
      <c r="I4" s="12">
        <f t="shared" si="2"/>
        <v>46084</v>
      </c>
      <c r="J4" t="str">
        <f t="shared" si="3"/>
        <v>US</v>
      </c>
      <c r="K4" t="str">
        <f t="shared" si="4"/>
        <v>Coffee Maker Keurig</v>
      </c>
      <c r="L4" t="str">
        <f t="shared" si="5"/>
        <v>Kitchen</v>
      </c>
    </row>
    <row r="5" spans="1:12">
      <c r="A5" s="3" t="s">
        <v>18</v>
      </c>
      <c r="B5" s="10" t="s">
        <v>19</v>
      </c>
      <c r="C5" s="3" t="s">
        <v>20</v>
      </c>
      <c r="D5" s="3">
        <v>900</v>
      </c>
      <c r="E5" s="3">
        <v>25</v>
      </c>
      <c r="F5" s="14" t="s">
        <v>9</v>
      </c>
      <c r="G5" s="7">
        <f t="shared" si="0"/>
        <v>900</v>
      </c>
      <c r="H5" t="str">
        <f t="shared" si="1"/>
        <v>Smartphone</v>
      </c>
      <c r="I5" s="12">
        <f t="shared" si="2"/>
        <v>46123</v>
      </c>
      <c r="J5" t="str">
        <f t="shared" si="3"/>
        <v>US</v>
      </c>
      <c r="K5" t="str">
        <f t="shared" si="4"/>
        <v>Smartphone Samsung</v>
      </c>
      <c r="L5" t="str">
        <f t="shared" si="5"/>
        <v>Electronics</v>
      </c>
    </row>
    <row r="6" spans="1:12">
      <c r="A6" s="2" t="s">
        <v>21</v>
      </c>
      <c r="B6" s="9" t="s">
        <v>22</v>
      </c>
      <c r="C6" s="2" t="s">
        <v>23</v>
      </c>
      <c r="D6" s="2">
        <v>70</v>
      </c>
      <c r="E6" s="2">
        <v>20</v>
      </c>
      <c r="F6" s="2"/>
      <c r="G6" s="7">
        <f t="shared" si="0"/>
        <v>70</v>
      </c>
      <c r="H6" t="str">
        <f t="shared" si="1"/>
        <v>Backpack</v>
      </c>
      <c r="I6" s="12">
        <f t="shared" si="2"/>
        <v>46164</v>
      </c>
      <c r="J6" t="str">
        <f t="shared" si="3"/>
        <v>US</v>
      </c>
      <c r="K6" t="str">
        <f t="shared" si="4"/>
        <v>Backpack North Face</v>
      </c>
      <c r="L6" t="str">
        <f t="shared" si="5"/>
        <v>Unknown</v>
      </c>
    </row>
    <row r="7" spans="1:12">
      <c r="A7" s="3" t="s">
        <v>24</v>
      </c>
      <c r="B7" s="10" t="s">
        <v>25</v>
      </c>
      <c r="C7" s="3" t="s">
        <v>26</v>
      </c>
      <c r="D7" s="3"/>
      <c r="E7" s="3">
        <v>45</v>
      </c>
      <c r="F7" s="14" t="s">
        <v>9</v>
      </c>
      <c r="G7" s="7">
        <f t="shared" si="0"/>
        <v>250</v>
      </c>
      <c r="H7" t="str">
        <f t="shared" si="1"/>
        <v>Headphones</v>
      </c>
      <c r="I7" s="12">
        <f t="shared" si="2"/>
        <v>46180</v>
      </c>
      <c r="J7" t="str">
        <f t="shared" si="3"/>
        <v>UK</v>
      </c>
      <c r="K7" t="str">
        <f t="shared" si="4"/>
        <v>Headphones Sony</v>
      </c>
      <c r="L7" t="str">
        <f t="shared" si="5"/>
        <v>Electronics</v>
      </c>
    </row>
    <row r="8" spans="1:12">
      <c r="A8" s="2" t="s">
        <v>28</v>
      </c>
      <c r="B8" s="9" t="s">
        <v>29</v>
      </c>
      <c r="C8" s="2" t="s">
        <v>30</v>
      </c>
      <c r="D8" s="2">
        <v>30</v>
      </c>
      <c r="E8" s="2">
        <v>5</v>
      </c>
      <c r="F8" s="2" t="s">
        <v>13</v>
      </c>
      <c r="G8" s="7">
        <f t="shared" si="0"/>
        <v>30</v>
      </c>
      <c r="H8" t="str">
        <f t="shared" si="1"/>
        <v>T-Shirt</v>
      </c>
      <c r="I8" s="12">
        <f t="shared" si="2"/>
        <v>46222</v>
      </c>
      <c r="J8" t="str">
        <f t="shared" si="3"/>
        <v>UK</v>
      </c>
      <c r="K8" t="str">
        <f t="shared" si="4"/>
        <v>T-Shirt Adidas</v>
      </c>
      <c r="L8" t="str">
        <f t="shared" si="5"/>
        <v>Fashion</v>
      </c>
    </row>
    <row r="9" spans="1:12">
      <c r="A9" s="3" t="s">
        <v>31</v>
      </c>
      <c r="B9" s="10" t="s">
        <v>32</v>
      </c>
      <c r="C9" s="3" t="s">
        <v>33</v>
      </c>
      <c r="D9" s="3">
        <v>90</v>
      </c>
      <c r="E9" s="3">
        <v>35</v>
      </c>
      <c r="F9" s="3" t="s">
        <v>17</v>
      </c>
      <c r="G9" s="7">
        <f t="shared" si="0"/>
        <v>90</v>
      </c>
      <c r="H9" t="str">
        <f t="shared" si="1"/>
        <v>Blender</v>
      </c>
      <c r="I9" s="12">
        <f t="shared" si="2"/>
        <v>46257</v>
      </c>
      <c r="J9" t="str">
        <f t="shared" si="3"/>
        <v>UK</v>
      </c>
      <c r="K9" t="str">
        <f t="shared" si="4"/>
        <v>Blender Ninja</v>
      </c>
      <c r="L9" t="str">
        <f t="shared" si="5"/>
        <v>Kitchen</v>
      </c>
    </row>
    <row r="10" spans="1:12">
      <c r="A10" s="2" t="s">
        <v>34</v>
      </c>
      <c r="B10" s="9" t="s">
        <v>35</v>
      </c>
      <c r="C10" s="2" t="s">
        <v>36</v>
      </c>
      <c r="D10" s="2">
        <v>500</v>
      </c>
      <c r="E10" s="2">
        <v>50</v>
      </c>
      <c r="F10" s="13" t="s">
        <v>9</v>
      </c>
      <c r="G10" s="7">
        <f t="shared" si="0"/>
        <v>500</v>
      </c>
      <c r="H10" t="str">
        <f t="shared" si="1"/>
        <v>Tablet</v>
      </c>
      <c r="I10" s="12">
        <f t="shared" si="2"/>
        <v>46270</v>
      </c>
      <c r="J10" t="str">
        <f t="shared" si="3"/>
        <v>UK</v>
      </c>
      <c r="K10" t="str">
        <f t="shared" si="4"/>
        <v>Tablet Apple</v>
      </c>
      <c r="L10" t="str">
        <f t="shared" si="5"/>
        <v>Electronics</v>
      </c>
    </row>
    <row r="11" spans="1:12">
      <c r="A11" s="3" t="s">
        <v>37</v>
      </c>
      <c r="B11" s="10" t="s">
        <v>38</v>
      </c>
      <c r="C11" s="3" t="s">
        <v>39</v>
      </c>
      <c r="D11" s="3">
        <v>130</v>
      </c>
      <c r="E11" s="3">
        <v>10</v>
      </c>
      <c r="F11" s="3" t="s">
        <v>40</v>
      </c>
      <c r="G11" s="7">
        <f t="shared" si="0"/>
        <v>130</v>
      </c>
      <c r="H11" t="str">
        <f t="shared" si="1"/>
        <v>Hiking Boots</v>
      </c>
      <c r="I11" s="12">
        <f t="shared" si="2"/>
        <v>46309</v>
      </c>
      <c r="J11" t="str">
        <f t="shared" si="3"/>
        <v>UK</v>
      </c>
      <c r="K11" t="str">
        <f t="shared" si="4"/>
        <v>Hiking Boots Timberland</v>
      </c>
      <c r="L11" t="str">
        <f t="shared" si="5"/>
        <v>Outdoor</v>
      </c>
    </row>
    <row r="12" spans="1:12">
      <c r="A12" s="2" t="s">
        <v>41</v>
      </c>
      <c r="B12" s="9" t="s">
        <v>42</v>
      </c>
      <c r="C12" s="2" t="s">
        <v>43</v>
      </c>
      <c r="D12" s="2">
        <v>950</v>
      </c>
      <c r="E12" s="2">
        <v>25</v>
      </c>
      <c r="F12" s="13" t="s">
        <v>9</v>
      </c>
      <c r="G12" s="7">
        <f t="shared" si="0"/>
        <v>950</v>
      </c>
      <c r="H12" t="str">
        <f t="shared" si="1"/>
        <v>Laptop</v>
      </c>
      <c r="I12" s="12">
        <f t="shared" si="2"/>
        <v>46190</v>
      </c>
      <c r="J12" t="str">
        <f t="shared" si="3"/>
        <v>IN</v>
      </c>
      <c r="K12" t="str">
        <f t="shared" si="4"/>
        <v>Laptop HP</v>
      </c>
      <c r="L12" t="str">
        <f t="shared" si="5"/>
        <v>Electronics</v>
      </c>
    </row>
    <row r="13" spans="1:12">
      <c r="A13" s="3" t="s">
        <v>44</v>
      </c>
      <c r="B13" s="10" t="s">
        <v>11</v>
      </c>
      <c r="C13" s="3" t="s">
        <v>30</v>
      </c>
      <c r="D13" s="3">
        <v>90</v>
      </c>
      <c r="E13" s="3">
        <v>40</v>
      </c>
      <c r="F13" s="3"/>
      <c r="G13" s="7">
        <f t="shared" si="0"/>
        <v>90</v>
      </c>
      <c r="H13" t="str">
        <f t="shared" si="1"/>
        <v>Sneakers</v>
      </c>
      <c r="I13" s="12">
        <f t="shared" si="2"/>
        <v>46351</v>
      </c>
      <c r="J13" t="str">
        <f t="shared" si="3"/>
        <v>AU</v>
      </c>
      <c r="K13" t="str">
        <f t="shared" si="4"/>
        <v>Sneakers Adidas</v>
      </c>
      <c r="L13" t="str">
        <f t="shared" si="5"/>
        <v>Unknown</v>
      </c>
    </row>
    <row r="14" spans="1:12">
      <c r="A14" s="2" t="s">
        <v>45</v>
      </c>
      <c r="B14" s="9" t="s">
        <v>15</v>
      </c>
      <c r="C14" s="2" t="s">
        <v>46</v>
      </c>
      <c r="D14" s="2">
        <v>120</v>
      </c>
      <c r="E14" s="2">
        <v>35</v>
      </c>
      <c r="F14" s="2"/>
      <c r="G14" s="7">
        <f t="shared" si="0"/>
        <v>120</v>
      </c>
      <c r="H14" t="str">
        <f t="shared" si="1"/>
        <v>Coffee Maker</v>
      </c>
      <c r="I14" s="12">
        <f t="shared" si="2"/>
        <v>46364</v>
      </c>
      <c r="J14" t="str">
        <f t="shared" si="3"/>
        <v>DE</v>
      </c>
      <c r="K14" t="str">
        <f t="shared" si="4"/>
        <v>Coffee Maker Nespresso</v>
      </c>
      <c r="L14" t="str">
        <f t="shared" si="5"/>
        <v>Unknown</v>
      </c>
    </row>
    <row r="15" spans="1:12">
      <c r="A15" s="3" t="s">
        <v>47</v>
      </c>
      <c r="B15" s="10" t="s">
        <v>48</v>
      </c>
      <c r="C15" s="3" t="s">
        <v>49</v>
      </c>
      <c r="D15" s="3">
        <v>150</v>
      </c>
      <c r="E15" s="3">
        <v>15</v>
      </c>
      <c r="F15" s="3" t="s">
        <v>9</v>
      </c>
      <c r="G15" s="7">
        <f t="shared" si="0"/>
        <v>150</v>
      </c>
      <c r="H15" t="str">
        <f t="shared" si="1"/>
        <v>Smartwatch</v>
      </c>
      <c r="I15" s="12">
        <f t="shared" si="2"/>
        <v>46071</v>
      </c>
      <c r="J15" t="str">
        <f t="shared" si="3"/>
        <v>CA</v>
      </c>
      <c r="K15" t="str">
        <f t="shared" si="4"/>
        <v>Smartwatch Fitbit</v>
      </c>
      <c r="L15" t="str">
        <f t="shared" si="5"/>
        <v>Electronics</v>
      </c>
    </row>
    <row r="16" spans="1:12">
      <c r="A16" s="2" t="s">
        <v>50</v>
      </c>
      <c r="B16" s="9" t="s">
        <v>51</v>
      </c>
      <c r="C16" s="2" t="s">
        <v>52</v>
      </c>
      <c r="D16" s="2">
        <v>250</v>
      </c>
      <c r="E16" s="2">
        <v>20</v>
      </c>
      <c r="F16" s="2" t="s">
        <v>9</v>
      </c>
      <c r="G16" s="7">
        <f t="shared" si="0"/>
        <v>250</v>
      </c>
      <c r="H16" t="str">
        <f t="shared" si="1"/>
        <v>Headphones</v>
      </c>
      <c r="I16" s="12">
        <f t="shared" si="2"/>
        <v>46128</v>
      </c>
      <c r="J16" t="str">
        <f t="shared" si="3"/>
        <v>ES</v>
      </c>
      <c r="K16" t="str">
        <f t="shared" si="4"/>
        <v>Headphones Bose</v>
      </c>
      <c r="L16" t="str">
        <f t="shared" si="5"/>
        <v>Electronics</v>
      </c>
    </row>
    <row r="17" spans="1:12">
      <c r="A17" s="3" t="s">
        <v>53</v>
      </c>
      <c r="B17" s="10" t="s">
        <v>54</v>
      </c>
      <c r="C17" s="3" t="s">
        <v>55</v>
      </c>
      <c r="D17" s="3">
        <v>50</v>
      </c>
      <c r="E17" s="3">
        <v>35</v>
      </c>
      <c r="F17" s="3" t="s">
        <v>56</v>
      </c>
      <c r="G17" s="7">
        <f t="shared" si="0"/>
        <v>50</v>
      </c>
      <c r="H17" t="str">
        <f t="shared" si="1"/>
        <v>Laptop Bag</v>
      </c>
      <c r="I17" s="12">
        <f t="shared" si="2"/>
        <v>46255</v>
      </c>
      <c r="J17" t="str">
        <f t="shared" si="3"/>
        <v>CA</v>
      </c>
      <c r="K17" t="str">
        <f t="shared" si="4"/>
        <v>Laptop Bag Samsonite</v>
      </c>
      <c r="L17" t="str">
        <f t="shared" si="5"/>
        <v>Accessories</v>
      </c>
    </row>
    <row r="18" spans="1:12">
      <c r="A18" s="2" t="s">
        <v>57</v>
      </c>
      <c r="B18" s="9" t="s">
        <v>48</v>
      </c>
      <c r="C18" s="2" t="s">
        <v>58</v>
      </c>
      <c r="D18" s="2">
        <v>160</v>
      </c>
      <c r="E18" s="2">
        <v>15</v>
      </c>
      <c r="F18" s="2" t="s">
        <v>9</v>
      </c>
      <c r="G18" s="7">
        <f t="shared" si="0"/>
        <v>160</v>
      </c>
      <c r="H18" t="str">
        <f t="shared" si="1"/>
        <v>Smartwatch</v>
      </c>
      <c r="I18" s="12">
        <f t="shared" si="2"/>
        <v>46254</v>
      </c>
      <c r="J18" t="str">
        <f t="shared" si="3"/>
        <v>CN</v>
      </c>
      <c r="K18" t="str">
        <f t="shared" si="4"/>
        <v>Smartwatch Huawei</v>
      </c>
      <c r="L18" t="str">
        <f t="shared" si="5"/>
        <v>Electronics</v>
      </c>
    </row>
    <row r="19" spans="1:12">
      <c r="A19" s="3" t="s">
        <v>59</v>
      </c>
      <c r="B19" s="10" t="s">
        <v>7</v>
      </c>
      <c r="C19" s="3" t="s">
        <v>60</v>
      </c>
      <c r="D19" s="3">
        <v>980</v>
      </c>
      <c r="E19" s="3">
        <v>10</v>
      </c>
      <c r="F19" s="14" t="s">
        <v>9</v>
      </c>
      <c r="G19" s="7">
        <f t="shared" si="0"/>
        <v>980</v>
      </c>
      <c r="H19" t="str">
        <f t="shared" si="1"/>
        <v>Laptop</v>
      </c>
      <c r="I19" s="12">
        <f t="shared" si="2"/>
        <v>46049</v>
      </c>
      <c r="J19" t="str">
        <f t="shared" si="3"/>
        <v>IT</v>
      </c>
      <c r="K19" t="str">
        <f t="shared" si="4"/>
        <v>Laptop Asus</v>
      </c>
      <c r="L19" t="str">
        <f t="shared" si="5"/>
        <v>Electronics</v>
      </c>
    </row>
    <row r="20" spans="1:12">
      <c r="A20" s="2" t="s">
        <v>61</v>
      </c>
      <c r="B20" s="9" t="s">
        <v>62</v>
      </c>
      <c r="C20" s="2" t="s">
        <v>63</v>
      </c>
      <c r="D20" s="2">
        <v>150</v>
      </c>
      <c r="E20" s="2">
        <v>15</v>
      </c>
      <c r="F20" s="2" t="s">
        <v>13</v>
      </c>
      <c r="G20" s="7">
        <f t="shared" si="0"/>
        <v>150</v>
      </c>
      <c r="H20" t="str">
        <f t="shared" si="1"/>
        <v>Sunglasses</v>
      </c>
      <c r="I20" s="12">
        <f t="shared" si="2"/>
        <v>46082</v>
      </c>
      <c r="J20" t="str">
        <f t="shared" si="3"/>
        <v>UK</v>
      </c>
      <c r="K20" t="str">
        <f t="shared" si="4"/>
        <v>Sunglasses Oakley</v>
      </c>
      <c r="L20" t="str">
        <f t="shared" si="5"/>
        <v>Fashion</v>
      </c>
    </row>
    <row r="21" spans="1:12">
      <c r="A21" s="3" t="s">
        <v>64</v>
      </c>
      <c r="B21" s="10" t="s">
        <v>65</v>
      </c>
      <c r="C21" s="3" t="s">
        <v>66</v>
      </c>
      <c r="D21" s="3"/>
      <c r="E21" s="3">
        <v>10</v>
      </c>
      <c r="F21" s="3" t="s">
        <v>40</v>
      </c>
      <c r="G21" s="7">
        <f>IF(ISBLANK(D21),AVERAGEIF(F2:F32,F21,$D$2:$D$32),D21)</f>
        <v>130</v>
      </c>
      <c r="H21" t="str">
        <f t="shared" si="1"/>
        <v>Camping Tent</v>
      </c>
      <c r="I21" s="12">
        <f t="shared" si="2"/>
        <v>46248</v>
      </c>
      <c r="J21" t="str">
        <f t="shared" si="3"/>
        <v>US</v>
      </c>
      <c r="K21" t="str">
        <f t="shared" si="4"/>
        <v>Camping Tent Coleman</v>
      </c>
      <c r="L21" t="str">
        <f t="shared" si="5"/>
        <v>Outdoor</v>
      </c>
    </row>
    <row r="22" spans="1:12">
      <c r="A22" s="2" t="s">
        <v>67</v>
      </c>
      <c r="B22" s="9" t="s">
        <v>68</v>
      </c>
      <c r="C22" s="2" t="s">
        <v>69</v>
      </c>
      <c r="D22" s="2">
        <v>700</v>
      </c>
      <c r="E22" s="2">
        <v>50</v>
      </c>
      <c r="F22" s="13" t="s">
        <v>9</v>
      </c>
      <c r="G22" s="7">
        <f t="shared" si="0"/>
        <v>700</v>
      </c>
      <c r="H22" t="str">
        <f t="shared" si="1"/>
        <v>Camera</v>
      </c>
      <c r="I22" s="12">
        <f t="shared" si="2"/>
        <v>46156</v>
      </c>
      <c r="J22" t="str">
        <f t="shared" si="3"/>
        <v>RU</v>
      </c>
      <c r="K22" t="str">
        <f t="shared" si="4"/>
        <v>Camera Nikon</v>
      </c>
      <c r="L22" t="str">
        <f t="shared" si="5"/>
        <v>Electronics</v>
      </c>
    </row>
    <row r="23" spans="1:12">
      <c r="A23" s="3" t="s">
        <v>70</v>
      </c>
      <c r="B23" s="10" t="s">
        <v>71</v>
      </c>
      <c r="C23" s="3" t="s">
        <v>72</v>
      </c>
      <c r="D23" s="3">
        <v>80</v>
      </c>
      <c r="E23" s="3">
        <v>20</v>
      </c>
      <c r="F23" s="3" t="s">
        <v>17</v>
      </c>
      <c r="G23" s="7">
        <f t="shared" si="0"/>
        <v>80</v>
      </c>
      <c r="H23" t="str">
        <f t="shared" si="1"/>
        <v>Microwave</v>
      </c>
      <c r="I23" s="12">
        <f t="shared" si="2"/>
        <v>46031</v>
      </c>
      <c r="J23" t="str">
        <f t="shared" si="3"/>
        <v>CA</v>
      </c>
      <c r="K23" t="str">
        <f t="shared" si="4"/>
        <v>Microwave Panasonic</v>
      </c>
      <c r="L23" t="str">
        <f t="shared" si="5"/>
        <v>Kitchen</v>
      </c>
    </row>
    <row r="24" spans="1:12">
      <c r="A24" s="2" t="s">
        <v>73</v>
      </c>
      <c r="B24" s="9" t="s">
        <v>74</v>
      </c>
      <c r="C24" s="2" t="s">
        <v>75</v>
      </c>
      <c r="D24" s="2">
        <v>150</v>
      </c>
      <c r="E24" s="2">
        <v>30</v>
      </c>
      <c r="F24" s="2"/>
      <c r="G24" s="7">
        <f t="shared" si="0"/>
        <v>150</v>
      </c>
      <c r="H24" t="str">
        <f t="shared" si="1"/>
        <v>Fitness Tracker</v>
      </c>
      <c r="I24" s="12">
        <f t="shared" si="2"/>
        <v>46222</v>
      </c>
      <c r="J24" t="str">
        <f t="shared" si="3"/>
        <v>BR</v>
      </c>
      <c r="K24" t="str">
        <f t="shared" si="4"/>
        <v>Fitness Tracker Xiaomi</v>
      </c>
      <c r="L24" t="str">
        <f t="shared" si="5"/>
        <v>Unknown</v>
      </c>
    </row>
    <row r="25" spans="1:12">
      <c r="A25" s="2" t="s">
        <v>76</v>
      </c>
      <c r="B25" s="9" t="s">
        <v>77</v>
      </c>
      <c r="C25" s="2" t="s">
        <v>78</v>
      </c>
      <c r="D25" s="2">
        <v>800</v>
      </c>
      <c r="E25" s="2">
        <v>45</v>
      </c>
      <c r="F25" s="13" t="s">
        <v>9</v>
      </c>
      <c r="G25" s="7">
        <f t="shared" si="0"/>
        <v>800</v>
      </c>
      <c r="H25" t="str">
        <f t="shared" si="1"/>
        <v>Smartphone</v>
      </c>
      <c r="I25" s="12">
        <f t="shared" si="2"/>
        <v>46294</v>
      </c>
      <c r="J25" t="str">
        <f t="shared" si="3"/>
        <v>CA</v>
      </c>
      <c r="K25" t="str">
        <f t="shared" si="4"/>
        <v>Smartphone Google</v>
      </c>
      <c r="L25" t="str">
        <f t="shared" si="5"/>
        <v>Electronics</v>
      </c>
    </row>
    <row r="26" spans="1:12">
      <c r="A26" s="3" t="s">
        <v>79</v>
      </c>
      <c r="B26" s="10" t="s">
        <v>62</v>
      </c>
      <c r="C26" s="3" t="s">
        <v>80</v>
      </c>
      <c r="D26" s="3"/>
      <c r="E26" s="3">
        <v>25</v>
      </c>
      <c r="F26" s="3" t="s">
        <v>13</v>
      </c>
      <c r="G26" s="7">
        <f t="shared" si="0"/>
        <v>150</v>
      </c>
      <c r="H26" t="str">
        <f t="shared" si="1"/>
        <v>Sunglasses</v>
      </c>
      <c r="I26" s="12">
        <f t="shared" si="2"/>
        <v>46176</v>
      </c>
      <c r="J26" t="str">
        <f t="shared" si="3"/>
        <v>CA</v>
      </c>
      <c r="K26" t="str">
        <f t="shared" si="4"/>
        <v>Sunglasses Ray-Ban</v>
      </c>
      <c r="L26" t="str">
        <f t="shared" si="5"/>
        <v>Fashion</v>
      </c>
    </row>
    <row r="27" spans="1:12">
      <c r="A27" s="2" t="s">
        <v>81</v>
      </c>
      <c r="B27" s="9" t="s">
        <v>32</v>
      </c>
      <c r="C27" s="2" t="s">
        <v>82</v>
      </c>
      <c r="D27" s="2">
        <v>400</v>
      </c>
      <c r="E27" s="2">
        <v>40</v>
      </c>
      <c r="F27" s="2" t="s">
        <v>17</v>
      </c>
      <c r="G27" s="7">
        <f t="shared" si="0"/>
        <v>400</v>
      </c>
      <c r="H27" t="str">
        <f t="shared" si="1"/>
        <v>Blender</v>
      </c>
      <c r="I27" s="12">
        <f t="shared" si="2"/>
        <v>46214</v>
      </c>
      <c r="J27" t="str">
        <f t="shared" si="3"/>
        <v>CA</v>
      </c>
      <c r="K27" t="str">
        <f t="shared" si="4"/>
        <v>Blender Vitamix</v>
      </c>
      <c r="L27" t="str">
        <f t="shared" si="5"/>
        <v>Kitchen</v>
      </c>
    </row>
    <row r="28" spans="1:12">
      <c r="A28" s="2" t="s">
        <v>83</v>
      </c>
      <c r="B28" s="9" t="s">
        <v>84</v>
      </c>
      <c r="C28" s="2" t="s">
        <v>85</v>
      </c>
      <c r="D28" s="2">
        <v>60</v>
      </c>
      <c r="E28" s="2">
        <v>30</v>
      </c>
      <c r="F28" s="2" t="s">
        <v>13</v>
      </c>
      <c r="G28" s="7">
        <f t="shared" si="0"/>
        <v>60</v>
      </c>
      <c r="H28" t="str">
        <f t="shared" si="1"/>
        <v>Dress</v>
      </c>
      <c r="I28" s="12">
        <f t="shared" si="2"/>
        <v>46088</v>
      </c>
      <c r="J28" t="str">
        <f t="shared" si="3"/>
        <v>CA</v>
      </c>
      <c r="K28" t="str">
        <f t="shared" si="4"/>
        <v>Dress Zara</v>
      </c>
      <c r="L28" t="str">
        <f t="shared" si="5"/>
        <v>Fashion</v>
      </c>
    </row>
    <row r="29" spans="1:12">
      <c r="A29" s="3" t="s">
        <v>86</v>
      </c>
      <c r="B29" s="10" t="s">
        <v>87</v>
      </c>
      <c r="C29" s="3" t="s">
        <v>88</v>
      </c>
      <c r="D29" s="3">
        <v>40</v>
      </c>
      <c r="E29" s="3">
        <v>10</v>
      </c>
      <c r="F29" s="3" t="s">
        <v>17</v>
      </c>
      <c r="G29" s="7">
        <f t="shared" si="0"/>
        <v>40</v>
      </c>
      <c r="H29" t="str">
        <f t="shared" si="1"/>
        <v>Toaster</v>
      </c>
      <c r="I29" s="12">
        <f t="shared" si="2"/>
        <v>46125</v>
      </c>
      <c r="J29" t="str">
        <f t="shared" si="3"/>
        <v>CA</v>
      </c>
      <c r="K29" t="str">
        <f t="shared" si="4"/>
        <v>Toaster Hamilton</v>
      </c>
      <c r="L29" t="str">
        <f t="shared" si="5"/>
        <v>Kitchen</v>
      </c>
    </row>
    <row r="30" spans="1:12">
      <c r="A30" s="2" t="s">
        <v>89</v>
      </c>
      <c r="B30" s="9" t="s">
        <v>74</v>
      </c>
      <c r="C30" s="2" t="s">
        <v>90</v>
      </c>
      <c r="D30" s="2">
        <v>130</v>
      </c>
      <c r="E30" s="2">
        <v>5</v>
      </c>
      <c r="F30" s="13" t="s">
        <v>9</v>
      </c>
      <c r="G30" s="7">
        <f t="shared" si="0"/>
        <v>130</v>
      </c>
      <c r="H30" t="str">
        <f t="shared" si="1"/>
        <v>Fitness Tracker</v>
      </c>
      <c r="I30" s="12">
        <f t="shared" si="2"/>
        <v>46166</v>
      </c>
      <c r="J30" t="str">
        <f t="shared" si="3"/>
        <v>CA</v>
      </c>
      <c r="K30" t="str">
        <f t="shared" si="4"/>
        <v>Fitness Tracker Garmin</v>
      </c>
      <c r="L30" t="str">
        <f t="shared" si="5"/>
        <v>Electronics</v>
      </c>
    </row>
    <row r="31" spans="1:12">
      <c r="A31" s="3" t="s">
        <v>91</v>
      </c>
      <c r="B31" s="10" t="s">
        <v>92</v>
      </c>
      <c r="C31" s="3" t="s">
        <v>93</v>
      </c>
      <c r="D31" s="3">
        <v>50</v>
      </c>
      <c r="E31" s="3">
        <v>50</v>
      </c>
      <c r="F31" s="3" t="s">
        <v>13</v>
      </c>
      <c r="G31" s="7">
        <f t="shared" si="0"/>
        <v>50</v>
      </c>
      <c r="H31" t="str">
        <f t="shared" si="1"/>
        <v>Jeans</v>
      </c>
      <c r="I31" s="12">
        <f t="shared" si="2"/>
        <v>46358</v>
      </c>
      <c r="J31" t="str">
        <f t="shared" si="3"/>
        <v>CA</v>
      </c>
      <c r="K31" t="str">
        <f t="shared" si="4"/>
        <v>Jeans Levi's</v>
      </c>
      <c r="L31" t="str">
        <f t="shared" si="5"/>
        <v>Fashion</v>
      </c>
    </row>
    <row r="32" spans="1:12">
      <c r="A32" s="3" t="s">
        <v>94</v>
      </c>
      <c r="B32" s="10" t="s">
        <v>95</v>
      </c>
      <c r="C32" s="3" t="s">
        <v>96</v>
      </c>
      <c r="D32" s="3">
        <v>100</v>
      </c>
      <c r="E32" s="3">
        <v>20</v>
      </c>
      <c r="F32" s="3" t="s">
        <v>56</v>
      </c>
      <c r="G32" s="7">
        <f t="shared" si="0"/>
        <v>100</v>
      </c>
      <c r="H32" t="str">
        <f t="shared" si="1"/>
        <v>Watch</v>
      </c>
      <c r="I32" s="12">
        <f t="shared" si="2"/>
        <v>46212</v>
      </c>
      <c r="J32" t="str">
        <f t="shared" si="3"/>
        <v>FR</v>
      </c>
      <c r="K32" t="str">
        <f t="shared" si="4"/>
        <v>Watch Casio</v>
      </c>
      <c r="L32" t="str">
        <f t="shared" si="5"/>
        <v>Accessories</v>
      </c>
    </row>
    <row r="35" spans="1:1">
      <c r="A35" t="s">
        <v>97</v>
      </c>
    </row>
    <row r="36" spans="1:1">
      <c r="A36">
        <f>COUNTBLANK(D2:D32)</f>
        <v>3</v>
      </c>
    </row>
  </sheetData>
  <conditionalFormatting sqref="G1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ellIs" dxfId="12" priority="3" operator="equal">
      <formula>"Electronics"</formula>
    </cfRule>
  </conditionalFormatting>
  <conditionalFormatting sqref="L1">
    <cfRule type="cellIs" dxfId="2" priority="2" operator="equal">
      <formula>"Electronics"</formula>
    </cfRule>
  </conditionalFormatting>
  <conditionalFormatting sqref="L2:L32">
    <cfRule type="cellIs" dxfId="1" priority="1" operator="equal">
      <formula>"Electronics"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L31" sqref="L31"/>
    </sheetView>
  </sheetViews>
  <sheetFormatPr defaultRowHeight="13.2"/>
  <cols>
    <col min="1" max="1" width="18.21875" style="16" bestFit="1" customWidth="1"/>
    <col min="2" max="2" width="13.33203125" style="15" bestFit="1" customWidth="1"/>
    <col min="3" max="3" width="21.44140625" bestFit="1" customWidth="1"/>
    <col min="4" max="4" width="9.109375" bestFit="1" customWidth="1"/>
    <col min="5" max="5" width="8.44140625" bestFit="1" customWidth="1"/>
    <col min="6" max="6" width="11" bestFit="1" customWidth="1"/>
  </cols>
  <sheetData>
    <row r="1" spans="1:6">
      <c r="A1" s="18" t="s">
        <v>100</v>
      </c>
      <c r="B1" s="18" t="s">
        <v>101</v>
      </c>
      <c r="C1" s="18" t="s">
        <v>145</v>
      </c>
      <c r="D1" s="18" t="s">
        <v>3</v>
      </c>
      <c r="E1" s="18" t="s">
        <v>4</v>
      </c>
      <c r="F1" s="18" t="s">
        <v>5</v>
      </c>
    </row>
    <row r="2" spans="1:6">
      <c r="A2" s="19">
        <v>46050</v>
      </c>
      <c r="B2" s="20" t="s">
        <v>102</v>
      </c>
      <c r="C2" s="21" t="s">
        <v>114</v>
      </c>
      <c r="D2" s="22">
        <v>1000</v>
      </c>
      <c r="E2" s="21">
        <v>30</v>
      </c>
      <c r="F2" s="21" t="s">
        <v>9</v>
      </c>
    </row>
    <row r="3" spans="1:6">
      <c r="A3" s="19">
        <v>46068</v>
      </c>
      <c r="B3" s="20" t="s">
        <v>102</v>
      </c>
      <c r="C3" s="21" t="s">
        <v>115</v>
      </c>
      <c r="D3" s="22">
        <v>80</v>
      </c>
      <c r="E3" s="21">
        <v>15</v>
      </c>
      <c r="F3" s="21" t="s">
        <v>13</v>
      </c>
    </row>
    <row r="4" spans="1:6">
      <c r="A4" s="19">
        <v>46084</v>
      </c>
      <c r="B4" s="20" t="s">
        <v>102</v>
      </c>
      <c r="C4" s="21" t="s">
        <v>116</v>
      </c>
      <c r="D4" s="22">
        <v>130</v>
      </c>
      <c r="E4" s="21">
        <v>40</v>
      </c>
      <c r="F4" s="21" t="s">
        <v>17</v>
      </c>
    </row>
    <row r="5" spans="1:6">
      <c r="A5" s="19">
        <v>46123</v>
      </c>
      <c r="B5" s="20" t="s">
        <v>102</v>
      </c>
      <c r="C5" s="21" t="s">
        <v>117</v>
      </c>
      <c r="D5" s="22">
        <v>900</v>
      </c>
      <c r="E5" s="21">
        <v>25</v>
      </c>
      <c r="F5" s="21" t="s">
        <v>9</v>
      </c>
    </row>
    <row r="6" spans="1:6">
      <c r="A6" s="19">
        <v>46164</v>
      </c>
      <c r="B6" s="20" t="s">
        <v>102</v>
      </c>
      <c r="C6" s="21" t="s">
        <v>118</v>
      </c>
      <c r="D6" s="22">
        <v>70</v>
      </c>
      <c r="E6" s="21">
        <v>20</v>
      </c>
      <c r="F6" s="21" t="s">
        <v>147</v>
      </c>
    </row>
    <row r="7" spans="1:6">
      <c r="A7" s="19">
        <v>46180</v>
      </c>
      <c r="B7" s="20" t="s">
        <v>103</v>
      </c>
      <c r="C7" s="21" t="s">
        <v>119</v>
      </c>
      <c r="D7" s="22">
        <v>250</v>
      </c>
      <c r="E7" s="21">
        <v>45</v>
      </c>
      <c r="F7" s="21" t="s">
        <v>9</v>
      </c>
    </row>
    <row r="8" spans="1:6">
      <c r="A8" s="19">
        <v>46222</v>
      </c>
      <c r="B8" s="20" t="s">
        <v>103</v>
      </c>
      <c r="C8" s="21" t="s">
        <v>120</v>
      </c>
      <c r="D8" s="22">
        <v>30</v>
      </c>
      <c r="E8" s="21">
        <v>5</v>
      </c>
      <c r="F8" s="21" t="s">
        <v>13</v>
      </c>
    </row>
    <row r="9" spans="1:6">
      <c r="A9" s="19">
        <v>46257</v>
      </c>
      <c r="B9" s="20" t="s">
        <v>103</v>
      </c>
      <c r="C9" s="21" t="s">
        <v>121</v>
      </c>
      <c r="D9" s="22">
        <v>90</v>
      </c>
      <c r="E9" s="21">
        <v>35</v>
      </c>
      <c r="F9" s="21" t="s">
        <v>17</v>
      </c>
    </row>
    <row r="10" spans="1:6">
      <c r="A10" s="19">
        <v>46270</v>
      </c>
      <c r="B10" s="20" t="s">
        <v>103</v>
      </c>
      <c r="C10" s="21" t="s">
        <v>122</v>
      </c>
      <c r="D10" s="22">
        <v>500</v>
      </c>
      <c r="E10" s="21">
        <v>50</v>
      </c>
      <c r="F10" s="21" t="s">
        <v>9</v>
      </c>
    </row>
    <row r="11" spans="1:6">
      <c r="A11" s="19">
        <v>46309</v>
      </c>
      <c r="B11" s="20" t="s">
        <v>103</v>
      </c>
      <c r="C11" s="21" t="s">
        <v>123</v>
      </c>
      <c r="D11" s="22">
        <v>130</v>
      </c>
      <c r="E11" s="21">
        <v>10</v>
      </c>
      <c r="F11" s="21" t="s">
        <v>40</v>
      </c>
    </row>
    <row r="12" spans="1:6">
      <c r="A12" s="19">
        <v>46190</v>
      </c>
      <c r="B12" s="20" t="s">
        <v>104</v>
      </c>
      <c r="C12" s="21" t="s">
        <v>124</v>
      </c>
      <c r="D12" s="22">
        <v>950</v>
      </c>
      <c r="E12" s="21">
        <v>25</v>
      </c>
      <c r="F12" s="21" t="s">
        <v>9</v>
      </c>
    </row>
    <row r="13" spans="1:6">
      <c r="A13" s="19">
        <v>46351</v>
      </c>
      <c r="B13" s="20" t="s">
        <v>105</v>
      </c>
      <c r="C13" s="21" t="s">
        <v>125</v>
      </c>
      <c r="D13" s="22">
        <v>90</v>
      </c>
      <c r="E13" s="21">
        <v>40</v>
      </c>
      <c r="F13" s="21" t="s">
        <v>147</v>
      </c>
    </row>
    <row r="14" spans="1:6">
      <c r="A14" s="19">
        <v>46364</v>
      </c>
      <c r="B14" s="20" t="s">
        <v>106</v>
      </c>
      <c r="C14" s="21" t="s">
        <v>126</v>
      </c>
      <c r="D14" s="22">
        <v>120</v>
      </c>
      <c r="E14" s="21">
        <v>35</v>
      </c>
      <c r="F14" s="21" t="s">
        <v>147</v>
      </c>
    </row>
    <row r="15" spans="1:6">
      <c r="A15" s="19">
        <v>46071</v>
      </c>
      <c r="B15" s="20" t="s">
        <v>107</v>
      </c>
      <c r="C15" s="21" t="s">
        <v>127</v>
      </c>
      <c r="D15" s="22">
        <v>150</v>
      </c>
      <c r="E15" s="21">
        <v>15</v>
      </c>
      <c r="F15" s="21" t="s">
        <v>9</v>
      </c>
    </row>
    <row r="16" spans="1:6">
      <c r="A16" s="19">
        <v>46128</v>
      </c>
      <c r="B16" s="20" t="s">
        <v>108</v>
      </c>
      <c r="C16" s="21" t="s">
        <v>128</v>
      </c>
      <c r="D16" s="22">
        <v>250</v>
      </c>
      <c r="E16" s="21">
        <v>20</v>
      </c>
      <c r="F16" s="21" t="s">
        <v>9</v>
      </c>
    </row>
    <row r="17" spans="1:6">
      <c r="A17" s="19">
        <v>46255</v>
      </c>
      <c r="B17" s="20" t="s">
        <v>107</v>
      </c>
      <c r="C17" s="21" t="s">
        <v>129</v>
      </c>
      <c r="D17" s="22">
        <v>50</v>
      </c>
      <c r="E17" s="21">
        <v>35</v>
      </c>
      <c r="F17" s="21" t="s">
        <v>56</v>
      </c>
    </row>
    <row r="18" spans="1:6">
      <c r="A18" s="19">
        <v>46254</v>
      </c>
      <c r="B18" s="20" t="s">
        <v>109</v>
      </c>
      <c r="C18" s="21" t="s">
        <v>130</v>
      </c>
      <c r="D18" s="22">
        <v>160</v>
      </c>
      <c r="E18" s="21">
        <v>15</v>
      </c>
      <c r="F18" s="21" t="s">
        <v>9</v>
      </c>
    </row>
    <row r="19" spans="1:6">
      <c r="A19" s="19">
        <v>46049</v>
      </c>
      <c r="B19" s="20" t="s">
        <v>110</v>
      </c>
      <c r="C19" s="21" t="s">
        <v>131</v>
      </c>
      <c r="D19" s="22">
        <v>980</v>
      </c>
      <c r="E19" s="21">
        <v>10</v>
      </c>
      <c r="F19" s="21" t="s">
        <v>9</v>
      </c>
    </row>
    <row r="20" spans="1:6">
      <c r="A20" s="19">
        <v>46082</v>
      </c>
      <c r="B20" s="20" t="s">
        <v>103</v>
      </c>
      <c r="C20" s="21" t="s">
        <v>132</v>
      </c>
      <c r="D20" s="22">
        <v>150</v>
      </c>
      <c r="E20" s="21">
        <v>15</v>
      </c>
      <c r="F20" s="21" t="s">
        <v>13</v>
      </c>
    </row>
    <row r="21" spans="1:6">
      <c r="A21" s="19">
        <v>46248</v>
      </c>
      <c r="B21" s="20" t="s">
        <v>102</v>
      </c>
      <c r="C21" s="21" t="s">
        <v>133</v>
      </c>
      <c r="D21" s="22">
        <v>130</v>
      </c>
      <c r="E21" s="21">
        <v>10</v>
      </c>
      <c r="F21" s="21" t="s">
        <v>40</v>
      </c>
    </row>
    <row r="22" spans="1:6">
      <c r="A22" s="19">
        <v>46156</v>
      </c>
      <c r="B22" s="20" t="s">
        <v>111</v>
      </c>
      <c r="C22" s="21" t="s">
        <v>134</v>
      </c>
      <c r="D22" s="22">
        <v>700</v>
      </c>
      <c r="E22" s="21">
        <v>50</v>
      </c>
      <c r="F22" s="21" t="s">
        <v>9</v>
      </c>
    </row>
    <row r="23" spans="1:6">
      <c r="A23" s="19">
        <v>46031</v>
      </c>
      <c r="B23" s="20" t="s">
        <v>107</v>
      </c>
      <c r="C23" s="21" t="s">
        <v>135</v>
      </c>
      <c r="D23" s="22">
        <v>80</v>
      </c>
      <c r="E23" s="21">
        <v>20</v>
      </c>
      <c r="F23" s="21" t="s">
        <v>17</v>
      </c>
    </row>
    <row r="24" spans="1:6">
      <c r="A24" s="19">
        <v>46222</v>
      </c>
      <c r="B24" s="20" t="s">
        <v>112</v>
      </c>
      <c r="C24" s="21" t="s">
        <v>136</v>
      </c>
      <c r="D24" s="22">
        <v>150</v>
      </c>
      <c r="E24" s="21">
        <v>30</v>
      </c>
      <c r="F24" s="21" t="s">
        <v>147</v>
      </c>
    </row>
    <row r="25" spans="1:6">
      <c r="A25" s="19">
        <v>46294</v>
      </c>
      <c r="B25" s="20" t="s">
        <v>107</v>
      </c>
      <c r="C25" s="21" t="s">
        <v>137</v>
      </c>
      <c r="D25" s="22">
        <v>800</v>
      </c>
      <c r="E25" s="21">
        <v>45</v>
      </c>
      <c r="F25" s="21" t="s">
        <v>9</v>
      </c>
    </row>
    <row r="26" spans="1:6">
      <c r="A26" s="19">
        <v>46176</v>
      </c>
      <c r="B26" s="20" t="s">
        <v>107</v>
      </c>
      <c r="C26" s="21" t="s">
        <v>138</v>
      </c>
      <c r="D26" s="22">
        <v>150</v>
      </c>
      <c r="E26" s="21">
        <v>25</v>
      </c>
      <c r="F26" s="21" t="s">
        <v>13</v>
      </c>
    </row>
    <row r="27" spans="1:6">
      <c r="A27" s="19">
        <v>46214</v>
      </c>
      <c r="B27" s="20" t="s">
        <v>107</v>
      </c>
      <c r="C27" s="21" t="s">
        <v>139</v>
      </c>
      <c r="D27" s="22">
        <v>400</v>
      </c>
      <c r="E27" s="21">
        <v>40</v>
      </c>
      <c r="F27" s="21" t="s">
        <v>17</v>
      </c>
    </row>
    <row r="28" spans="1:6">
      <c r="A28" s="19">
        <v>46088</v>
      </c>
      <c r="B28" s="20" t="s">
        <v>107</v>
      </c>
      <c r="C28" s="21" t="s">
        <v>140</v>
      </c>
      <c r="D28" s="22">
        <v>60</v>
      </c>
      <c r="E28" s="21">
        <v>30</v>
      </c>
      <c r="F28" s="21" t="s">
        <v>13</v>
      </c>
    </row>
    <row r="29" spans="1:6">
      <c r="A29" s="19">
        <v>46125</v>
      </c>
      <c r="B29" s="20" t="s">
        <v>107</v>
      </c>
      <c r="C29" s="21" t="s">
        <v>141</v>
      </c>
      <c r="D29" s="22">
        <v>40</v>
      </c>
      <c r="E29" s="21">
        <v>10</v>
      </c>
      <c r="F29" s="21" t="s">
        <v>17</v>
      </c>
    </row>
    <row r="30" spans="1:6">
      <c r="A30" s="19">
        <v>46166</v>
      </c>
      <c r="B30" s="20" t="s">
        <v>107</v>
      </c>
      <c r="C30" s="21" t="s">
        <v>142</v>
      </c>
      <c r="D30" s="22">
        <v>130</v>
      </c>
      <c r="E30" s="21">
        <v>5</v>
      </c>
      <c r="F30" s="21" t="s">
        <v>9</v>
      </c>
    </row>
    <row r="31" spans="1:6">
      <c r="A31" s="19">
        <v>46358</v>
      </c>
      <c r="B31" s="20" t="s">
        <v>107</v>
      </c>
      <c r="C31" s="21" t="s">
        <v>143</v>
      </c>
      <c r="D31" s="22">
        <v>50</v>
      </c>
      <c r="E31" s="21">
        <v>50</v>
      </c>
      <c r="F31" s="21" t="s">
        <v>13</v>
      </c>
    </row>
    <row r="32" spans="1:6">
      <c r="A32" s="19">
        <v>46212</v>
      </c>
      <c r="B32" s="20" t="s">
        <v>113</v>
      </c>
      <c r="C32" s="21" t="s">
        <v>144</v>
      </c>
      <c r="D32" s="22">
        <v>100</v>
      </c>
      <c r="E32" s="21">
        <v>20</v>
      </c>
      <c r="F32" s="21" t="s">
        <v>56</v>
      </c>
    </row>
  </sheetData>
  <conditionalFormatting sqref="D2:D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2">
    <cfRule type="cellIs" dxfId="0" priority="1" operator="equal">
      <formula>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Imputed Data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2026-07-23T14:43:37Z</dcterms:created>
  <dcterms:modified xsi:type="dcterms:W3CDTF">2026-09-18T17:47:25Z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