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xWindow="0" yWindow="0" windowWidth="23040" windowHeight="9072" activeTab="1"/>
  </bookViews>
  <sheets>
    <sheet name="Instructions" sheetId="1" r:id="rId1"/>
    <sheet name="Dataset" sheetId="2" r:id="rId2"/>
  </sheets>
  <calcPr calcId="162913"/>
  <extLst>
    <ext uri="GoogleSheetsCustomDataVersion2">
      <go:sheetsCustomData xmlns:go="http://customooxmlschemas.google.com/" r:id="rId6" roundtripDataChecksum="xxdYPntQl+bO0ka4qHfhA4BnM4OowOuFpS2wlv4H/kM="/>
    </ext>
  </extLst>
</workbook>
</file>

<file path=xl/calcChain.xml><?xml version="1.0" encoding="utf-8"?>
<calcChain xmlns="http://schemas.openxmlformats.org/spreadsheetml/2006/main">
  <c r="I63" i="2" l="1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96" i="2"/>
  <c r="I95" i="2"/>
  <c r="I91" i="2"/>
  <c r="I62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2" i="2"/>
  <c r="I61" i="2"/>
  <c r="I60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25" i="2"/>
  <c r="I24" i="2"/>
  <c r="I20" i="2"/>
  <c r="I18" i="2"/>
  <c r="I15" i="2"/>
  <c r="I12" i="2"/>
  <c r="I10" i="2"/>
  <c r="I7" i="2"/>
  <c r="I5" i="2"/>
  <c r="I3" i="2"/>
</calcChain>
</file>

<file path=xl/sharedStrings.xml><?xml version="1.0" encoding="utf-8"?>
<sst xmlns="http://schemas.openxmlformats.org/spreadsheetml/2006/main" count="178" uniqueCount="113">
  <si>
    <t>Perform the following in the dataset from the 'Dataset' sheet.</t>
  </si>
  <si>
    <t>1) Sum, Count, Average:</t>
  </si>
  <si>
    <t>• What is the total price of all products in the dataset?</t>
  </si>
  <si>
    <t>• How many products are there in the dataset?</t>
  </si>
  <si>
    <t>• Calculate the average price of the products.</t>
  </si>
  <si>
    <t>2) Min and Max:</t>
  </si>
  <si>
    <t>• Determine the minimum price among all products.</t>
  </si>
  <si>
    <t>• Find the maximum price among all products.</t>
  </si>
  <si>
    <t>3) IF Function:</t>
  </si>
  <si>
    <t>• Using an IF function, create a new column named Price Range to categorize products with a price greater than or equal to $500 as 'High Price' and others as 'Standard Price'.</t>
  </si>
  <si>
    <t>4) SUMIF and COUNTIF:</t>
  </si>
  <si>
    <t>• Calculate the total price for products in the 'Electronics' category using the SUMIF function.</t>
  </si>
  <si>
    <t>• Determine the count of products with a price less than $100 using the COUNTIF function.</t>
  </si>
  <si>
    <t>5) Text Formatting - LEFT, RIGHT, MID:</t>
  </si>
  <si>
    <t>• Create a new column named Day with the first 2 characters of each 'Product ID' using the LEFT function.</t>
  </si>
  <si>
    <t>• Create a new column named Country Code by extracting the last 2 characters from the 'Product ID' column using the RIGHT function.</t>
  </si>
  <si>
    <t>• Create a new column named Month by extracting 4th to 6th characters from the 'Product ID' column using the MID function.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</si>
  <si>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</si>
  <si>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</si>
  <si>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</si>
  <si>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</si>
  <si>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</si>
  <si>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</si>
  <si>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</si>
  <si>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</si>
  <si>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</si>
  <si>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</si>
  <si>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</si>
  <si>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</si>
  <si>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</si>
  <si>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</si>
  <si>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</si>
  <si>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</si>
  <si>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</si>
  <si>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</si>
  <si>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</si>
  <si>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</si>
  <si>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</si>
  <si>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</si>
  <si>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</si>
  <si>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</si>
  <si>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</si>
  <si>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</si>
  <si>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</si>
  <si>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</si>
  <si>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</si>
  <si>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</si>
  <si>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</si>
  <si>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</si>
  <si>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</si>
  <si>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</si>
  <si>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</si>
  <si>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</si>
  <si>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</si>
  <si>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</si>
  <si>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</si>
  <si>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</si>
  <si>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</si>
  <si>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</si>
  <si>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</si>
  <si>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</si>
  <si>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</si>
  <si>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</si>
  <si>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</si>
  <si>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</si>
  <si>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</si>
  <si>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</si>
  <si>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</si>
  <si>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</si>
  <si>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</si>
  <si>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</si>
  <si>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</si>
  <si>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</si>
  <si>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</si>
  <si>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</si>
  <si>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</si>
  <si>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</si>
  <si>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</si>
  <si>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</si>
  <si>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</si>
  <si>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</si>
  <si>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</si>
  <si>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</si>
  <si>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</si>
  <si>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</si>
  <si>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</si>
  <si>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</si>
  <si>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</si>
  <si>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</si>
  <si>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</si>
  <si>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</si>
  <si>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</si>
  <si>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</si>
  <si>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</si>
  <si>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</si>
  <si>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</si>
  <si>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</si>
  <si>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</si>
  <si>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</si>
  <si>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</si>
  <si>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</si>
  <si>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</si>
  <si>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</si>
  <si>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</si>
  <si>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</si>
  <si>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</si>
  <si>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</si>
  <si>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</si>
  <si>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</si>
  <si>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</si>
  <si>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Day</t>
  </si>
  <si>
    <t>country code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</si>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</sst>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b/>
      <sz val="10"/>
      <color theme="1"/>
      <name val="Arial"/>
    </font>
    <font>
      <sz val="10"/>
      <color theme="1"/>
      <name val="Arial"/>
    </font>
    <font>
      <sz val="10"/>
      <color theme="1"/>
      <name val="Arial"/>
      <family val="2"/>
    </font>
    <font>
      <b/>
      <sz val="11"/>
      <color rgb="FF000000"/>
      <name val="Arial"/>
      <family val="2"/>
      <scheme val="minor"/>
    </font>
    <font>
      <sz val="12"/>
      <color rgb="FF000000"/>
      <name val="Arial"/>
      <family val="2"/>
      <scheme val="minor"/>
    </font>
    <font>
      <sz val="12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/>
    <xf numFmtId="0" fontId="6" fillId="0" borderId="0" xfId="0" applyFont="1"/>
    <xf numFmtId="0" fontId="6" fillId="3" borderId="0" xfId="0" applyFont="1" applyFill="1"/>
    <xf numFmtId="0" fontId="6" fillId="4" borderId="0" xfId="0" applyFont="1" applyFill="1" applyAlignment="1"/>
    <xf numFmtId="49" fontId="6" fillId="0" borderId="0" xfId="0" applyNumberFormat="1" applyFont="1"/>
    <xf numFmtId="0" fontId="8" fillId="5" borderId="1" xfId="0" applyFont="1" applyFill="1" applyBorder="1" applyAlignment="1"/>
    <xf numFmtId="0" fontId="3" fillId="0" borderId="1" xfId="0" applyFont="1" applyBorder="1"/>
    <xf numFmtId="0" fontId="0" fillId="0" borderId="1" xfId="0" applyFont="1" applyBorder="1" applyAlignment="1"/>
    <xf numFmtId="0" fontId="9" fillId="5" borderId="1" xfId="0" applyFont="1" applyFill="1" applyBorder="1" applyAlignment="1"/>
    <xf numFmtId="0" fontId="3" fillId="0" borderId="1" xfId="0" applyNumberFormat="1" applyFont="1" applyBorder="1"/>
    <xf numFmtId="0" fontId="0" fillId="0" borderId="1" xfId="0" applyNumberFormat="1" applyFont="1" applyBorder="1" applyAlignment="1"/>
    <xf numFmtId="0" fontId="10" fillId="5" borderId="1" xfId="0" applyFont="1" applyFill="1" applyBorder="1"/>
    <xf numFmtId="0" fontId="7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1000"/>
  <sheetViews>
    <sheetView showGridLines="0" workbookViewId="0">
      <selection activeCell="C22" sqref="C22:K22"/>
    </sheetView>
  </sheetViews>
  <sheetFormatPr defaultColWidth="12.6640625" defaultRowHeight="15" customHeight="1" x14ac:dyDescent="0.25"/>
  <cols>
    <col min="1" max="1" width="12.6640625" customWidth="1"/>
    <col min="2" max="2" width="7.44140625" customWidth="1"/>
    <col min="3" max="6" width="12.6640625" customWidth="1"/>
  </cols>
  <sheetData>
    <row r="1" spans="1:3" ht="15.75" customHeight="1" x14ac:dyDescent="0.25">
      <c r="A1" s="1" t="s">
        <v>0</v>
      </c>
    </row>
    <row r="2" spans="1:3" ht="15.75" customHeight="1" x14ac:dyDescent="0.25"/>
    <row r="3" spans="1:3" ht="15.75" customHeight="1" x14ac:dyDescent="0.3">
      <c r="B3" s="2" t="s">
        <v>1</v>
      </c>
    </row>
    <row r="4" spans="1:3" ht="15.75" customHeight="1" x14ac:dyDescent="0.3">
      <c r="B4" s="2"/>
      <c r="C4" s="3" t="s">
        <v>2</v>
      </c>
    </row>
    <row r="5" spans="1:3" ht="15.75" customHeight="1" x14ac:dyDescent="0.3">
      <c r="B5" s="2"/>
      <c r="C5" s="3" t="s">
        <v>3</v>
      </c>
    </row>
    <row r="6" spans="1:3" ht="15.75" customHeight="1" x14ac:dyDescent="0.3">
      <c r="B6" s="2"/>
      <c r="C6" s="3" t="s">
        <v>4</v>
      </c>
    </row>
    <row r="7" spans="1:3" ht="15.75" customHeight="1" x14ac:dyDescent="0.3">
      <c r="B7" s="4"/>
    </row>
    <row r="8" spans="1:3" ht="15.75" customHeight="1" x14ac:dyDescent="0.3">
      <c r="B8" s="2" t="s">
        <v>5</v>
      </c>
    </row>
    <row r="9" spans="1:3" ht="15.75" customHeight="1" x14ac:dyDescent="0.3">
      <c r="C9" s="3" t="s">
        <v>6</v>
      </c>
    </row>
    <row r="10" spans="1:3" ht="15.75" customHeight="1" x14ac:dyDescent="0.3">
      <c r="C10" s="3" t="s">
        <v>7</v>
      </c>
    </row>
    <row r="11" spans="1:3" ht="15.75" customHeight="1" x14ac:dyDescent="0.3">
      <c r="B11" s="4"/>
    </row>
    <row r="12" spans="1:3" ht="15.75" customHeight="1" x14ac:dyDescent="0.3">
      <c r="B12" s="2" t="s">
        <v>8</v>
      </c>
    </row>
    <row r="13" spans="1:3" ht="15.75" customHeight="1" x14ac:dyDescent="0.3">
      <c r="C13" s="3" t="s">
        <v>9</v>
      </c>
    </row>
    <row r="14" spans="1:3" ht="15.75" customHeight="1" x14ac:dyDescent="0.3">
      <c r="B14" s="4"/>
    </row>
    <row r="15" spans="1:3" ht="15.75" customHeight="1" x14ac:dyDescent="0.3">
      <c r="B15" s="2" t="s">
        <v>10</v>
      </c>
    </row>
    <row r="16" spans="1:3" ht="15.75" customHeight="1" x14ac:dyDescent="0.3">
      <c r="C16" s="3" t="s">
        <v>11</v>
      </c>
    </row>
    <row r="17" spans="2:3" ht="15.75" customHeight="1" x14ac:dyDescent="0.3">
      <c r="C17" s="3" t="s">
        <v>12</v>
      </c>
    </row>
    <row r="18" spans="2:3" ht="15.75" customHeight="1" x14ac:dyDescent="0.3">
      <c r="B18" s="4"/>
    </row>
    <row r="19" spans="2:3" ht="15.75" customHeight="1" x14ac:dyDescent="0.3">
      <c r="B19" s="2" t="s">
        <v>13</v>
      </c>
    </row>
    <row r="20" spans="2:3" ht="15.75" customHeight="1" x14ac:dyDescent="0.3">
      <c r="C20" s="3" t="s">
        <v>14</v>
      </c>
    </row>
    <row r="21" spans="2:3" ht="15.75" customHeight="1" x14ac:dyDescent="0.3">
      <c r="C21" s="3" t="s">
        <v>15</v>
      </c>
    </row>
    <row r="22" spans="2:3" ht="15.75" customHeight="1" x14ac:dyDescent="0.3">
      <c r="C22" s="3" t="s">
        <v>16</v>
      </c>
    </row>
    <row r="23" spans="2:3" ht="15.75" customHeight="1" x14ac:dyDescent="0.3">
      <c r="B23" s="4"/>
    </row>
    <row r="24" spans="2:3" ht="15.75" customHeight="1" x14ac:dyDescent="0.25"/>
    <row r="25" spans="2:3" ht="15.75" customHeight="1" x14ac:dyDescent="0.25"/>
    <row r="26" spans="2:3" ht="15.75" customHeight="1" x14ac:dyDescent="0.25"/>
    <row r="27" spans="2:3" ht="15.75" customHeight="1" x14ac:dyDescent="0.25"/>
    <row r="28" spans="2:3" ht="15.75" customHeight="1" x14ac:dyDescent="0.25"/>
    <row r="29" spans="2:3" ht="15.75" customHeight="1" x14ac:dyDescent="0.25"/>
    <row r="30" spans="2:3" ht="15.75" customHeight="1" x14ac:dyDescent="0.25"/>
    <row r="31" spans="2:3" ht="15.75" customHeight="1" x14ac:dyDescent="0.25"/>
    <row r="32" spans="2:3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I1001"/>
  <sheetViews>
    <sheetView tabSelected="1" topLeftCell="A64" zoomScaleNormal="100" workbookViewId="0">
      <selection activeCell="I63" sqref="I63"/>
    </sheetView>
  </sheetViews>
  <sheetFormatPr defaultColWidth="12.6640625" defaultRowHeight="15" customHeight="1" x14ac:dyDescent="0.25"/>
  <cols>
    <col min="1" max="1" width="12.6640625" customWidth="1"/>
    <col min="2" max="2" width="14.109375" customWidth="1"/>
    <col min="3" max="6" width="12.6640625" customWidth="1"/>
    <col min="9" max="9" width="15.44140625" customWidth="1"/>
  </cols>
  <sheetData>
    <row r="1" spans="1:9" ht="15.75" customHeight="1" x14ac:dyDescent="0.3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6"/>
      <c r="I1" s="2" t="s">
        <v>1</v>
      </c>
    </row>
    <row r="2" spans="1:9" ht="15.75" customHeight="1" x14ac:dyDescent="0.3">
      <c r="A2" s="7" t="s">
        <v>23</v>
      </c>
      <c r="B2" s="7" t="s">
        <v>24</v>
      </c>
      <c r="C2" s="7" t="s">
        <v>25</v>
      </c>
      <c r="D2" s="7">
        <v>1000</v>
      </c>
      <c r="E2" s="7">
        <v>30</v>
      </c>
      <c r="F2" s="7" t="s">
        <v>26</v>
      </c>
      <c r="G2" s="8"/>
      <c r="I2" s="3" t="s">
        <v>2</v>
      </c>
    </row>
    <row r="3" spans="1:9" ht="15.75" customHeight="1" x14ac:dyDescent="0.25">
      <c r="A3" s="9" t="s">
        <v>27</v>
      </c>
      <c r="B3" s="9" t="s">
        <v>28</v>
      </c>
      <c r="C3" s="9" t="s">
        <v>29</v>
      </c>
      <c r="D3" s="9">
        <v>80</v>
      </c>
      <c r="E3" s="9">
        <v>15</v>
      </c>
      <c r="F3" s="9" t="s">
        <v>30</v>
      </c>
      <c r="G3" s="8"/>
      <c r="I3">
        <f>SUM(D2:D35)</f>
        <v>10100</v>
      </c>
    </row>
    <row r="4" spans="1:9" ht="15.75" customHeight="1" x14ac:dyDescent="0.25">
      <c r="A4" s="7" t="s">
        <v>31</v>
      </c>
      <c r="B4" s="7" t="s">
        <v>32</v>
      </c>
      <c r="C4" s="7" t="s">
        <v>33</v>
      </c>
      <c r="D4" s="7">
        <v>130</v>
      </c>
      <c r="E4" s="7">
        <v>40</v>
      </c>
      <c r="F4" s="7" t="s">
        <v>34</v>
      </c>
      <c r="G4" s="8"/>
      <c r="I4" t="s">
        <v>3</v>
      </c>
    </row>
    <row r="5" spans="1:9" ht="15.75" customHeight="1" x14ac:dyDescent="0.25">
      <c r="A5" s="9" t="s">
        <v>35</v>
      </c>
      <c r="B5" s="9" t="s">
        <v>36</v>
      </c>
      <c r="C5" s="9" t="s">
        <v>37</v>
      </c>
      <c r="D5" s="9">
        <v>900</v>
      </c>
      <c r="E5" s="9">
        <v>25</v>
      </c>
      <c r="F5" s="9" t="s">
        <v>26</v>
      </c>
      <c r="G5" s="8"/>
      <c r="I5">
        <f>COUNTA(B2:B35)</f>
        <v>34</v>
      </c>
    </row>
    <row r="6" spans="1:9" ht="15.75" customHeight="1" x14ac:dyDescent="0.3">
      <c r="A6" s="7" t="s">
        <v>38</v>
      </c>
      <c r="B6" s="7" t="s">
        <v>39</v>
      </c>
      <c r="C6" s="7" t="s">
        <v>40</v>
      </c>
      <c r="D6" s="7">
        <v>70</v>
      </c>
      <c r="E6" s="7">
        <v>20</v>
      </c>
      <c r="F6" s="7" t="s">
        <v>41</v>
      </c>
      <c r="G6" s="8"/>
      <c r="I6" s="3" t="s">
        <v>4</v>
      </c>
    </row>
    <row r="7" spans="1:9" ht="15.75" customHeight="1" x14ac:dyDescent="0.25">
      <c r="A7" s="9" t="s">
        <v>42</v>
      </c>
      <c r="B7" s="9" t="s">
        <v>43</v>
      </c>
      <c r="C7" s="9" t="s">
        <v>44</v>
      </c>
      <c r="D7" s="9">
        <v>200</v>
      </c>
      <c r="E7" s="9">
        <v>45</v>
      </c>
      <c r="F7" s="9" t="s">
        <v>26</v>
      </c>
      <c r="G7" s="8"/>
      <c r="I7">
        <f>AVERAGE(D2:D35)</f>
        <v>297.05882352941177</v>
      </c>
    </row>
    <row r="8" spans="1:9" ht="15.75" customHeight="1" x14ac:dyDescent="0.3">
      <c r="A8" s="7" t="s">
        <v>45</v>
      </c>
      <c r="B8" s="7" t="s">
        <v>46</v>
      </c>
      <c r="C8" s="7" t="s">
        <v>47</v>
      </c>
      <c r="D8" s="7">
        <v>30</v>
      </c>
      <c r="E8" s="7">
        <v>5</v>
      </c>
      <c r="F8" s="7" t="s">
        <v>30</v>
      </c>
      <c r="G8" s="8"/>
      <c r="I8" s="2" t="s">
        <v>5</v>
      </c>
    </row>
    <row r="9" spans="1:9" ht="15.75" customHeight="1" x14ac:dyDescent="0.3">
      <c r="A9" s="9" t="s">
        <v>48</v>
      </c>
      <c r="B9" s="9" t="s">
        <v>49</v>
      </c>
      <c r="C9" s="9" t="s">
        <v>50</v>
      </c>
      <c r="D9" s="9">
        <v>90</v>
      </c>
      <c r="E9" s="9">
        <v>35</v>
      </c>
      <c r="F9" s="9" t="s">
        <v>34</v>
      </c>
      <c r="G9" s="8"/>
      <c r="I9" s="3" t="s">
        <v>6</v>
      </c>
    </row>
    <row r="10" spans="1:9" ht="15.75" customHeight="1" x14ac:dyDescent="0.25">
      <c r="A10" s="7" t="s">
        <v>51</v>
      </c>
      <c r="B10" s="7" t="s">
        <v>52</v>
      </c>
      <c r="C10" s="7" t="s">
        <v>53</v>
      </c>
      <c r="D10" s="7">
        <v>500</v>
      </c>
      <c r="E10" s="7">
        <v>50</v>
      </c>
      <c r="F10" s="7" t="s">
        <v>26</v>
      </c>
      <c r="G10" s="8"/>
      <c r="I10">
        <f>MIN(D2:D35)</f>
        <v>30</v>
      </c>
    </row>
    <row r="11" spans="1:9" ht="15.75" customHeight="1" x14ac:dyDescent="0.3">
      <c r="A11" s="9" t="s">
        <v>54</v>
      </c>
      <c r="B11" s="9" t="s">
        <v>55</v>
      </c>
      <c r="C11" s="9" t="s">
        <v>56</v>
      </c>
      <c r="D11" s="9">
        <v>130</v>
      </c>
      <c r="E11" s="9">
        <v>10</v>
      </c>
      <c r="F11" s="9" t="s">
        <v>41</v>
      </c>
      <c r="G11" s="8"/>
      <c r="I11" s="3" t="s">
        <v>7</v>
      </c>
    </row>
    <row r="12" spans="1:9" ht="15.75" customHeight="1" x14ac:dyDescent="0.25">
      <c r="A12" s="7" t="s">
        <v>57</v>
      </c>
      <c r="B12" s="7" t="s">
        <v>24</v>
      </c>
      <c r="C12" s="7" t="s">
        <v>58</v>
      </c>
      <c r="D12" s="7">
        <v>950</v>
      </c>
      <c r="E12" s="7">
        <v>25</v>
      </c>
      <c r="F12" s="7" t="s">
        <v>26</v>
      </c>
      <c r="G12" s="8"/>
      <c r="I12">
        <f>MAX(D2:D35)</f>
        <v>1000</v>
      </c>
    </row>
    <row r="13" spans="1:9" ht="15.75" customHeight="1" x14ac:dyDescent="0.3">
      <c r="A13" s="9" t="s">
        <v>59</v>
      </c>
      <c r="B13" s="9" t="s">
        <v>28</v>
      </c>
      <c r="C13" s="9" t="s">
        <v>47</v>
      </c>
      <c r="D13" s="9">
        <v>90</v>
      </c>
      <c r="E13" s="9">
        <v>40</v>
      </c>
      <c r="F13" s="9" t="s">
        <v>30</v>
      </c>
      <c r="G13" s="11"/>
      <c r="I13" s="2" t="s">
        <v>8</v>
      </c>
    </row>
    <row r="14" spans="1:9" ht="15.75" customHeight="1" x14ac:dyDescent="0.3">
      <c r="A14" s="7" t="s">
        <v>60</v>
      </c>
      <c r="B14" s="7" t="s">
        <v>32</v>
      </c>
      <c r="C14" s="7" t="s">
        <v>61</v>
      </c>
      <c r="D14" s="7">
        <v>120</v>
      </c>
      <c r="E14" s="7">
        <v>35</v>
      </c>
      <c r="F14" s="7" t="s">
        <v>34</v>
      </c>
      <c r="G14" s="11"/>
      <c r="I14" s="3" t="s">
        <v>9</v>
      </c>
    </row>
    <row r="15" spans="1:9" ht="15.75" customHeight="1" x14ac:dyDescent="0.25">
      <c r="A15" s="9" t="s">
        <v>62</v>
      </c>
      <c r="B15" s="9" t="s">
        <v>63</v>
      </c>
      <c r="C15" s="9" t="s">
        <v>64</v>
      </c>
      <c r="D15" s="9">
        <v>150</v>
      </c>
      <c r="E15" s="9">
        <v>15</v>
      </c>
      <c r="F15" s="9" t="s">
        <v>26</v>
      </c>
      <c r="G15" s="8"/>
      <c r="I15" t="str">
        <f>IF(D2:D35&gt;=500,"high price","standard price")</f>
        <v>standard price</v>
      </c>
    </row>
    <row r="16" spans="1:9" ht="15.75" customHeight="1" x14ac:dyDescent="0.3">
      <c r="A16" s="7" t="s">
        <v>65</v>
      </c>
      <c r="B16" s="7" t="s">
        <v>43</v>
      </c>
      <c r="C16" s="7" t="s">
        <v>66</v>
      </c>
      <c r="D16" s="7">
        <v>250</v>
      </c>
      <c r="E16" s="7">
        <v>20</v>
      </c>
      <c r="F16" s="7" t="s">
        <v>26</v>
      </c>
      <c r="G16" s="8"/>
      <c r="I16" s="2" t="s">
        <v>10</v>
      </c>
    </row>
    <row r="17" spans="1:9" ht="15.75" customHeight="1" x14ac:dyDescent="0.3">
      <c r="A17" s="9" t="s">
        <v>67</v>
      </c>
      <c r="B17" s="9" t="s">
        <v>68</v>
      </c>
      <c r="C17" s="9" t="s">
        <v>69</v>
      </c>
      <c r="D17" s="9">
        <v>50</v>
      </c>
      <c r="E17" s="9">
        <v>35</v>
      </c>
      <c r="F17" s="9" t="s">
        <v>70</v>
      </c>
      <c r="G17" s="8"/>
      <c r="I17" s="3" t="s">
        <v>11</v>
      </c>
    </row>
    <row r="18" spans="1:9" ht="15.75" customHeight="1" x14ac:dyDescent="0.25">
      <c r="A18" s="7" t="s">
        <v>71</v>
      </c>
      <c r="B18" s="7" t="s">
        <v>63</v>
      </c>
      <c r="C18" s="7" t="s">
        <v>72</v>
      </c>
      <c r="D18" s="7">
        <v>160</v>
      </c>
      <c r="E18" s="7">
        <v>15</v>
      </c>
      <c r="F18" s="7" t="s">
        <v>26</v>
      </c>
      <c r="G18" s="8"/>
      <c r="I18">
        <f>SUMIF(F2:F35,"Electronics",D2:D35)</f>
        <v>8050</v>
      </c>
    </row>
    <row r="19" spans="1:9" ht="15.75" customHeight="1" x14ac:dyDescent="0.3">
      <c r="A19" s="9" t="s">
        <v>73</v>
      </c>
      <c r="B19" s="9" t="s">
        <v>24</v>
      </c>
      <c r="C19" s="9" t="s">
        <v>74</v>
      </c>
      <c r="D19" s="9">
        <v>980</v>
      </c>
      <c r="E19" s="9">
        <v>10</v>
      </c>
      <c r="F19" s="9" t="s">
        <v>26</v>
      </c>
      <c r="G19" s="8"/>
      <c r="I19" s="3" t="s">
        <v>12</v>
      </c>
    </row>
    <row r="20" spans="1:9" ht="15.75" customHeight="1" x14ac:dyDescent="0.25">
      <c r="A20" s="7" t="s">
        <v>75</v>
      </c>
      <c r="B20" s="7" t="s">
        <v>76</v>
      </c>
      <c r="C20" s="7" t="s">
        <v>77</v>
      </c>
      <c r="D20" s="7">
        <v>150</v>
      </c>
      <c r="E20" s="7">
        <v>15</v>
      </c>
      <c r="F20" s="7" t="s">
        <v>30</v>
      </c>
      <c r="G20" s="8"/>
      <c r="I20">
        <f>COUNTIF(D2:D35,"&lt;100")</f>
        <v>11</v>
      </c>
    </row>
    <row r="21" spans="1:9" ht="15.75" customHeight="1" x14ac:dyDescent="0.3">
      <c r="A21" s="9" t="s">
        <v>78</v>
      </c>
      <c r="B21" s="9" t="s">
        <v>79</v>
      </c>
      <c r="C21" s="9" t="s">
        <v>80</v>
      </c>
      <c r="D21" s="9">
        <v>200</v>
      </c>
      <c r="E21" s="9">
        <v>10</v>
      </c>
      <c r="F21" s="9" t="s">
        <v>41</v>
      </c>
      <c r="G21" s="8"/>
      <c r="I21" s="2" t="s">
        <v>13</v>
      </c>
    </row>
    <row r="22" spans="1:9" ht="15.75" customHeight="1" x14ac:dyDescent="0.3">
      <c r="A22" s="7" t="s">
        <v>81</v>
      </c>
      <c r="B22" s="7" t="s">
        <v>82</v>
      </c>
      <c r="C22" s="7" t="s">
        <v>83</v>
      </c>
      <c r="D22" s="7">
        <v>700</v>
      </c>
      <c r="E22" s="7">
        <v>50</v>
      </c>
      <c r="F22" s="7" t="s">
        <v>26</v>
      </c>
      <c r="G22" s="8"/>
      <c r="I22" s="3" t="s">
        <v>14</v>
      </c>
    </row>
    <row r="23" spans="1:9" ht="15.75" customHeight="1" x14ac:dyDescent="0.25">
      <c r="A23" s="9" t="s">
        <v>84</v>
      </c>
      <c r="B23" s="9" t="s">
        <v>85</v>
      </c>
      <c r="C23" s="9" t="s">
        <v>86</v>
      </c>
      <c r="D23" s="9">
        <v>80</v>
      </c>
      <c r="E23" s="9">
        <v>20</v>
      </c>
      <c r="F23" s="9" t="s">
        <v>34</v>
      </c>
      <c r="G23" s="8"/>
      <c r="I23" s="12" t="s">
        <v>110</v>
      </c>
    </row>
    <row r="24" spans="1:9" ht="15.75" customHeight="1" x14ac:dyDescent="0.3">
      <c r="A24" s="7" t="s">
        <v>87</v>
      </c>
      <c r="B24" s="7" t="s">
        <v>88</v>
      </c>
      <c r="C24" s="7" t="s">
        <v>89</v>
      </c>
      <c r="D24" s="7">
        <v>150</v>
      </c>
      <c r="E24" s="7">
        <v>30</v>
      </c>
      <c r="F24" s="7" t="s">
        <v>26</v>
      </c>
      <c r="G24" s="8"/>
      <c r="I24" s="13" t="str">
        <f>LEFT(A2,2)</f>
        <v>28</v>
      </c>
    </row>
    <row r="25" spans="1:9" ht="15.75" customHeight="1" x14ac:dyDescent="0.25">
      <c r="A25" s="9" t="s">
        <v>67</v>
      </c>
      <c r="B25" s="9" t="s">
        <v>68</v>
      </c>
      <c r="C25" s="9" t="s">
        <v>69</v>
      </c>
      <c r="D25" s="9">
        <v>50</v>
      </c>
      <c r="E25" s="9">
        <v>35</v>
      </c>
      <c r="F25" s="9" t="s">
        <v>70</v>
      </c>
      <c r="G25" s="10"/>
      <c r="I25" s="14" t="str">
        <f>LEFT(A3,2)</f>
        <v>15</v>
      </c>
    </row>
    <row r="26" spans="1:9" ht="15.75" customHeight="1" x14ac:dyDescent="0.3">
      <c r="A26" s="7" t="s">
        <v>90</v>
      </c>
      <c r="B26" s="7" t="s">
        <v>36</v>
      </c>
      <c r="C26" s="7" t="s">
        <v>91</v>
      </c>
      <c r="D26" s="7">
        <v>800</v>
      </c>
      <c r="E26" s="7">
        <v>45</v>
      </c>
      <c r="F26" s="7" t="s">
        <v>26</v>
      </c>
      <c r="G26" s="8"/>
      <c r="I26" s="13" t="str">
        <f t="shared" ref="I26:I57" si="0">LEFT(A4,2)</f>
        <v>03</v>
      </c>
    </row>
    <row r="27" spans="1:9" ht="15.75" customHeight="1" x14ac:dyDescent="0.25">
      <c r="A27" s="9" t="s">
        <v>92</v>
      </c>
      <c r="B27" s="9" t="s">
        <v>76</v>
      </c>
      <c r="C27" s="9" t="s">
        <v>93</v>
      </c>
      <c r="D27" s="9">
        <v>130</v>
      </c>
      <c r="E27" s="9">
        <v>25</v>
      </c>
      <c r="F27" s="9" t="s">
        <v>30</v>
      </c>
      <c r="G27" s="8"/>
      <c r="I27" s="14" t="str">
        <f t="shared" si="0"/>
        <v>11</v>
      </c>
    </row>
    <row r="28" spans="1:9" ht="15.75" customHeight="1" x14ac:dyDescent="0.3">
      <c r="A28" s="7" t="s">
        <v>94</v>
      </c>
      <c r="B28" s="7" t="s">
        <v>49</v>
      </c>
      <c r="C28" s="7" t="s">
        <v>95</v>
      </c>
      <c r="D28" s="7">
        <v>400</v>
      </c>
      <c r="E28" s="7">
        <v>40</v>
      </c>
      <c r="F28" s="7" t="s">
        <v>34</v>
      </c>
      <c r="G28" s="8"/>
      <c r="I28" s="13" t="str">
        <f t="shared" si="0"/>
        <v>22</v>
      </c>
    </row>
    <row r="29" spans="1:9" ht="15.75" customHeight="1" x14ac:dyDescent="0.25">
      <c r="A29" s="9" t="s">
        <v>65</v>
      </c>
      <c r="B29" s="9" t="s">
        <v>43</v>
      </c>
      <c r="C29" s="9" t="s">
        <v>66</v>
      </c>
      <c r="D29" s="9">
        <v>230</v>
      </c>
      <c r="E29" s="9">
        <v>20</v>
      </c>
      <c r="F29" s="9" t="s">
        <v>26</v>
      </c>
      <c r="G29" s="10"/>
      <c r="I29" s="14" t="str">
        <f t="shared" si="0"/>
        <v>07</v>
      </c>
    </row>
    <row r="30" spans="1:9" ht="15.75" customHeight="1" x14ac:dyDescent="0.3">
      <c r="A30" s="7" t="s">
        <v>96</v>
      </c>
      <c r="B30" s="7" t="s">
        <v>97</v>
      </c>
      <c r="C30" s="7" t="s">
        <v>98</v>
      </c>
      <c r="D30" s="7">
        <v>60</v>
      </c>
      <c r="E30" s="7">
        <v>30</v>
      </c>
      <c r="F30" s="7" t="s">
        <v>30</v>
      </c>
      <c r="G30" s="8"/>
      <c r="I30" s="13" t="str">
        <f t="shared" si="0"/>
        <v>19</v>
      </c>
    </row>
    <row r="31" spans="1:9" ht="15.75" customHeight="1" x14ac:dyDescent="0.25">
      <c r="A31" s="9" t="s">
        <v>99</v>
      </c>
      <c r="B31" s="9" t="s">
        <v>100</v>
      </c>
      <c r="C31" s="9" t="s">
        <v>101</v>
      </c>
      <c r="D31" s="9">
        <v>40</v>
      </c>
      <c r="E31" s="9">
        <v>10</v>
      </c>
      <c r="F31" s="9" t="s">
        <v>34</v>
      </c>
      <c r="G31" s="8"/>
      <c r="I31" s="14" t="str">
        <f t="shared" si="0"/>
        <v>23</v>
      </c>
    </row>
    <row r="32" spans="1:9" ht="15.75" customHeight="1" x14ac:dyDescent="0.3">
      <c r="A32" s="7" t="s">
        <v>102</v>
      </c>
      <c r="B32" s="7" t="s">
        <v>88</v>
      </c>
      <c r="C32" s="7" t="s">
        <v>103</v>
      </c>
      <c r="D32" s="7">
        <v>130</v>
      </c>
      <c r="E32" s="7">
        <v>5</v>
      </c>
      <c r="F32" s="7" t="s">
        <v>26</v>
      </c>
      <c r="G32" s="8"/>
      <c r="I32" s="13" t="str">
        <f t="shared" si="0"/>
        <v>05</v>
      </c>
    </row>
    <row r="33" spans="1:9" ht="15.75" customHeight="1" x14ac:dyDescent="0.25">
      <c r="A33" s="19" t="s">
        <v>104</v>
      </c>
      <c r="B33" s="9" t="s">
        <v>105</v>
      </c>
      <c r="C33" s="9" t="s">
        <v>106</v>
      </c>
      <c r="D33" s="9">
        <v>50</v>
      </c>
      <c r="E33" s="9">
        <v>50</v>
      </c>
      <c r="F33" s="9" t="s">
        <v>30</v>
      </c>
      <c r="G33" s="8"/>
      <c r="I33" s="14" t="str">
        <f t="shared" si="0"/>
        <v>14</v>
      </c>
    </row>
    <row r="34" spans="1:9" ht="15.75" customHeight="1" x14ac:dyDescent="0.3">
      <c r="A34" s="7" t="s">
        <v>57</v>
      </c>
      <c r="B34" s="7" t="s">
        <v>24</v>
      </c>
      <c r="C34" s="7" t="s">
        <v>58</v>
      </c>
      <c r="D34" s="7">
        <v>950</v>
      </c>
      <c r="E34" s="7">
        <v>25</v>
      </c>
      <c r="F34" s="7" t="s">
        <v>26</v>
      </c>
      <c r="G34" s="8"/>
      <c r="I34" s="13" t="str">
        <f t="shared" si="0"/>
        <v>17</v>
      </c>
    </row>
    <row r="35" spans="1:9" ht="15.75" customHeight="1" x14ac:dyDescent="0.25">
      <c r="A35" s="9" t="s">
        <v>107</v>
      </c>
      <c r="B35" s="9" t="s">
        <v>108</v>
      </c>
      <c r="C35" s="9" t="s">
        <v>109</v>
      </c>
      <c r="D35" s="9">
        <v>100</v>
      </c>
      <c r="E35" s="9">
        <v>20</v>
      </c>
      <c r="F35" s="9" t="s">
        <v>70</v>
      </c>
      <c r="G35" s="8"/>
      <c r="I35" s="14" t="str">
        <f t="shared" si="0"/>
        <v>25</v>
      </c>
    </row>
    <row r="36" spans="1:9" ht="15.75" customHeight="1" x14ac:dyDescent="0.3">
      <c r="I36" s="13" t="str">
        <f t="shared" si="0"/>
        <v>08</v>
      </c>
    </row>
    <row r="37" spans="1:9" ht="15.75" customHeight="1" x14ac:dyDescent="0.25">
      <c r="I37" s="14" t="str">
        <f t="shared" si="0"/>
        <v>18</v>
      </c>
    </row>
    <row r="38" spans="1:9" ht="15.75" customHeight="1" x14ac:dyDescent="0.3">
      <c r="I38" s="13" t="str">
        <f t="shared" si="0"/>
        <v>16</v>
      </c>
    </row>
    <row r="39" spans="1:9" ht="15.75" customHeight="1" x14ac:dyDescent="0.25">
      <c r="I39" s="14" t="str">
        <f t="shared" si="0"/>
        <v>21</v>
      </c>
    </row>
    <row r="40" spans="1:9" ht="15.75" customHeight="1" x14ac:dyDescent="0.3">
      <c r="I40" s="13" t="str">
        <f t="shared" si="0"/>
        <v>20</v>
      </c>
    </row>
    <row r="41" spans="1:9" ht="15.75" customHeight="1" x14ac:dyDescent="0.25">
      <c r="I41" s="14" t="str">
        <f t="shared" si="0"/>
        <v>27</v>
      </c>
    </row>
    <row r="42" spans="1:9" ht="15.75" customHeight="1" x14ac:dyDescent="0.3">
      <c r="I42" s="13" t="str">
        <f t="shared" si="0"/>
        <v>01</v>
      </c>
    </row>
    <row r="43" spans="1:9" ht="15.75" customHeight="1" x14ac:dyDescent="0.25">
      <c r="I43" s="14" t="str">
        <f t="shared" si="0"/>
        <v>14</v>
      </c>
    </row>
    <row r="44" spans="1:9" ht="15.75" customHeight="1" x14ac:dyDescent="0.3">
      <c r="I44" s="13" t="str">
        <f t="shared" si="0"/>
        <v>14</v>
      </c>
    </row>
    <row r="45" spans="1:9" ht="15.75" customHeight="1" x14ac:dyDescent="0.25">
      <c r="I45" s="14" t="str">
        <f t="shared" si="0"/>
        <v>09</v>
      </c>
    </row>
    <row r="46" spans="1:9" ht="15.75" customHeight="1" x14ac:dyDescent="0.3">
      <c r="I46" s="13" t="str">
        <f t="shared" si="0"/>
        <v>19</v>
      </c>
    </row>
    <row r="47" spans="1:9" ht="15.75" customHeight="1" x14ac:dyDescent="0.25">
      <c r="I47" s="14" t="str">
        <f t="shared" si="0"/>
        <v>21</v>
      </c>
    </row>
    <row r="48" spans="1:9" ht="15.75" customHeight="1" x14ac:dyDescent="0.3">
      <c r="I48" s="13" t="str">
        <f t="shared" si="0"/>
        <v>29</v>
      </c>
    </row>
    <row r="49" spans="9:9" ht="15.75" customHeight="1" x14ac:dyDescent="0.25">
      <c r="I49" s="14" t="str">
        <f t="shared" si="0"/>
        <v>03</v>
      </c>
    </row>
    <row r="50" spans="9:9" ht="15.75" customHeight="1" x14ac:dyDescent="0.3">
      <c r="I50" s="13" t="str">
        <f t="shared" si="0"/>
        <v>11</v>
      </c>
    </row>
    <row r="51" spans="9:9" ht="15.75" customHeight="1" x14ac:dyDescent="0.25">
      <c r="I51" s="14" t="str">
        <f t="shared" si="0"/>
        <v>16</v>
      </c>
    </row>
    <row r="52" spans="9:9" ht="15.75" customHeight="1" x14ac:dyDescent="0.3">
      <c r="I52" s="13" t="str">
        <f t="shared" si="0"/>
        <v>07</v>
      </c>
    </row>
    <row r="53" spans="9:9" ht="15.75" customHeight="1" x14ac:dyDescent="0.25">
      <c r="I53" s="14" t="str">
        <f t="shared" si="0"/>
        <v>13</v>
      </c>
    </row>
    <row r="54" spans="9:9" ht="15.75" customHeight="1" x14ac:dyDescent="0.3">
      <c r="I54" s="13" t="str">
        <f t="shared" si="0"/>
        <v>24</v>
      </c>
    </row>
    <row r="55" spans="9:9" ht="15.75" customHeight="1" x14ac:dyDescent="0.25">
      <c r="I55" s="14" t="str">
        <f t="shared" si="0"/>
        <v>02</v>
      </c>
    </row>
    <row r="56" spans="9:9" ht="15.75" customHeight="1" x14ac:dyDescent="0.3">
      <c r="I56" s="13" t="str">
        <f t="shared" si="0"/>
        <v>17</v>
      </c>
    </row>
    <row r="57" spans="9:9" ht="15.75" customHeight="1" x14ac:dyDescent="0.25">
      <c r="I57" s="14" t="str">
        <f t="shared" si="0"/>
        <v>09</v>
      </c>
    </row>
    <row r="58" spans="9:9" ht="15.75" customHeight="1" x14ac:dyDescent="0.3">
      <c r="I58" s="3" t="s">
        <v>15</v>
      </c>
    </row>
    <row r="59" spans="9:9" ht="15.75" customHeight="1" x14ac:dyDescent="0.25">
      <c r="I59" s="15" t="s">
        <v>111</v>
      </c>
    </row>
    <row r="60" spans="9:9" ht="15.75" customHeight="1" x14ac:dyDescent="0.3">
      <c r="I60" s="16" t="str">
        <f>RIGHT(A2,3)</f>
        <v>-US</v>
      </c>
    </row>
    <row r="61" spans="9:9" ht="15.75" customHeight="1" x14ac:dyDescent="0.25">
      <c r="I61" s="17" t="str">
        <f>RIGHT(A4,3)</f>
        <v>-US</v>
      </c>
    </row>
    <row r="62" spans="9:9" ht="15.75" customHeight="1" x14ac:dyDescent="0.3">
      <c r="I62" s="16" t="str">
        <f t="shared" ref="I62" si="1">RIGHT(A4,3)</f>
        <v>-US</v>
      </c>
    </row>
    <row r="63" spans="9:9" ht="15.75" customHeight="1" x14ac:dyDescent="0.25">
      <c r="I63" s="17" t="str">
        <f>RIGHT(A6,3)</f>
        <v>-US</v>
      </c>
    </row>
    <row r="64" spans="9:9" ht="15.75" customHeight="1" x14ac:dyDescent="0.3">
      <c r="I64" s="16" t="str">
        <f t="shared" ref="I64" si="2">RIGHT(A6,3)</f>
        <v>-US</v>
      </c>
    </row>
    <row r="65" spans="9:9" ht="15.75" customHeight="1" x14ac:dyDescent="0.25">
      <c r="I65" s="17" t="str">
        <f t="shared" ref="I65" si="3">RIGHT(A8,3)</f>
        <v>-UK</v>
      </c>
    </row>
    <row r="66" spans="9:9" ht="15.75" customHeight="1" x14ac:dyDescent="0.3">
      <c r="I66" s="16" t="str">
        <f t="shared" ref="I66" si="4">RIGHT(A8,3)</f>
        <v>-UK</v>
      </c>
    </row>
    <row r="67" spans="9:9" ht="15.75" customHeight="1" x14ac:dyDescent="0.25">
      <c r="I67" s="17" t="str">
        <f t="shared" ref="I67" si="5">RIGHT(A10,3)</f>
        <v>-UK</v>
      </c>
    </row>
    <row r="68" spans="9:9" ht="15.75" customHeight="1" x14ac:dyDescent="0.3">
      <c r="I68" s="16" t="str">
        <f t="shared" ref="I68" si="6">RIGHT(A10,3)</f>
        <v>-UK</v>
      </c>
    </row>
    <row r="69" spans="9:9" ht="15.75" customHeight="1" x14ac:dyDescent="0.25">
      <c r="I69" s="17" t="str">
        <f t="shared" ref="I69" si="7">RIGHT(A12,3)</f>
        <v>-IN</v>
      </c>
    </row>
    <row r="70" spans="9:9" ht="15.75" customHeight="1" x14ac:dyDescent="0.3">
      <c r="I70" s="16" t="str">
        <f t="shared" ref="I70" si="8">RIGHT(A12,3)</f>
        <v>-IN</v>
      </c>
    </row>
    <row r="71" spans="9:9" ht="15.75" customHeight="1" x14ac:dyDescent="0.25">
      <c r="I71" s="17" t="str">
        <f t="shared" ref="I71" si="9">RIGHT(A14,3)</f>
        <v>-DE</v>
      </c>
    </row>
    <row r="72" spans="9:9" ht="15.75" customHeight="1" x14ac:dyDescent="0.3">
      <c r="I72" s="16" t="str">
        <f t="shared" ref="I72" si="10">RIGHT(A14,3)</f>
        <v>-DE</v>
      </c>
    </row>
    <row r="73" spans="9:9" ht="15.75" customHeight="1" x14ac:dyDescent="0.25">
      <c r="I73" s="17" t="str">
        <f t="shared" ref="I73" si="11">RIGHT(A16,3)</f>
        <v>-ES</v>
      </c>
    </row>
    <row r="74" spans="9:9" ht="15.75" customHeight="1" x14ac:dyDescent="0.3">
      <c r="I74" s="16" t="str">
        <f t="shared" ref="I74" si="12">RIGHT(A16,3)</f>
        <v>-ES</v>
      </c>
    </row>
    <row r="75" spans="9:9" ht="15.75" customHeight="1" x14ac:dyDescent="0.25">
      <c r="I75" s="17" t="str">
        <f t="shared" ref="I75" si="13">RIGHT(A18,3)</f>
        <v>-CN</v>
      </c>
    </row>
    <row r="76" spans="9:9" ht="15.75" customHeight="1" x14ac:dyDescent="0.3">
      <c r="I76" s="16" t="str">
        <f t="shared" ref="I76" si="14">RIGHT(A18,3)</f>
        <v>-CN</v>
      </c>
    </row>
    <row r="77" spans="9:9" ht="15.75" customHeight="1" x14ac:dyDescent="0.25">
      <c r="I77" s="17" t="str">
        <f t="shared" ref="I77" si="15">RIGHT(A20,3)</f>
        <v>-UK</v>
      </c>
    </row>
    <row r="78" spans="9:9" ht="15.75" customHeight="1" x14ac:dyDescent="0.3">
      <c r="I78" s="16" t="str">
        <f t="shared" ref="I78" si="16">RIGHT(A20,3)</f>
        <v>-UK</v>
      </c>
    </row>
    <row r="79" spans="9:9" ht="15.75" customHeight="1" x14ac:dyDescent="0.25">
      <c r="I79" s="17" t="str">
        <f t="shared" ref="I79" si="17">RIGHT(A22,3)</f>
        <v>-RU</v>
      </c>
    </row>
    <row r="80" spans="9:9" ht="15.75" customHeight="1" x14ac:dyDescent="0.3">
      <c r="I80" s="16" t="str">
        <f t="shared" ref="I80" si="18">RIGHT(A22,3)</f>
        <v>-RU</v>
      </c>
    </row>
    <row r="81" spans="9:9" ht="15.75" customHeight="1" x14ac:dyDescent="0.25">
      <c r="I81" s="17" t="str">
        <f t="shared" ref="I81" si="19">RIGHT(A24,3)</f>
        <v>-BR</v>
      </c>
    </row>
    <row r="82" spans="9:9" ht="15.75" customHeight="1" x14ac:dyDescent="0.3">
      <c r="I82" s="16" t="str">
        <f t="shared" ref="I82" si="20">RIGHT(A24,3)</f>
        <v>-BR</v>
      </c>
    </row>
    <row r="83" spans="9:9" ht="15.75" customHeight="1" x14ac:dyDescent="0.25">
      <c r="I83" s="17" t="str">
        <f t="shared" ref="I83" si="21">RIGHT(A26,3)</f>
        <v>-CA</v>
      </c>
    </row>
    <row r="84" spans="9:9" ht="15.75" customHeight="1" x14ac:dyDescent="0.3">
      <c r="I84" s="16" t="str">
        <f t="shared" ref="I84" si="22">RIGHT(A26,3)</f>
        <v>-CA</v>
      </c>
    </row>
    <row r="85" spans="9:9" ht="15.75" customHeight="1" x14ac:dyDescent="0.25">
      <c r="I85" s="17" t="str">
        <f t="shared" ref="I85" si="23">RIGHT(A28,3)</f>
        <v>-CA</v>
      </c>
    </row>
    <row r="86" spans="9:9" ht="15.75" customHeight="1" x14ac:dyDescent="0.3">
      <c r="I86" s="16" t="str">
        <f t="shared" ref="I86" si="24">RIGHT(A28,3)</f>
        <v>-CA</v>
      </c>
    </row>
    <row r="87" spans="9:9" ht="15.75" customHeight="1" x14ac:dyDescent="0.25">
      <c r="I87" s="17" t="str">
        <f t="shared" ref="I87" si="25">RIGHT(A30,3)</f>
        <v>-CA</v>
      </c>
    </row>
    <row r="88" spans="9:9" ht="15.75" customHeight="1" x14ac:dyDescent="0.3">
      <c r="I88" s="16" t="str">
        <f t="shared" ref="I88" si="26">RIGHT(A30,3)</f>
        <v>-CA</v>
      </c>
    </row>
    <row r="89" spans="9:9" ht="15.75" customHeight="1" x14ac:dyDescent="0.25">
      <c r="I89" s="17" t="str">
        <f t="shared" ref="I89" si="27">RIGHT(A32,3)</f>
        <v>-CA</v>
      </c>
    </row>
    <row r="90" spans="9:9" ht="15.75" customHeight="1" x14ac:dyDescent="0.3">
      <c r="I90" s="16" t="str">
        <f t="shared" ref="I90" si="28">RIGHT(A32,3)</f>
        <v>-CA</v>
      </c>
    </row>
    <row r="91" spans="9:9" ht="15.75" customHeight="1" x14ac:dyDescent="0.25">
      <c r="I91" s="17" t="str">
        <f>RIGHT(A34,3)</f>
        <v>-IN</v>
      </c>
    </row>
    <row r="92" spans="9:9" ht="15.75" customHeight="1" x14ac:dyDescent="0.3">
      <c r="I92" s="16" t="str">
        <f t="shared" ref="I92" si="29">RIGHT(A34,3)</f>
        <v>-IN</v>
      </c>
    </row>
    <row r="93" spans="9:9" ht="15.75" customHeight="1" x14ac:dyDescent="0.3">
      <c r="I93" s="3" t="s">
        <v>16</v>
      </c>
    </row>
    <row r="94" spans="9:9" ht="15.75" customHeight="1" x14ac:dyDescent="0.3">
      <c r="I94" s="18" t="s">
        <v>112</v>
      </c>
    </row>
    <row r="95" spans="9:9" ht="15.75" customHeight="1" x14ac:dyDescent="0.3">
      <c r="I95" s="13" t="str">
        <f>MID(A2,4,3)</f>
        <v>JAN</v>
      </c>
    </row>
    <row r="96" spans="9:9" ht="15.75" customHeight="1" x14ac:dyDescent="0.25">
      <c r="I96" s="14" t="str">
        <f>MID(A3,4,3)</f>
        <v>FEB</v>
      </c>
    </row>
    <row r="97" spans="9:9" ht="15.75" customHeight="1" x14ac:dyDescent="0.3">
      <c r="I97" s="13" t="str">
        <f>MID(A4,4,3)</f>
        <v>MAR</v>
      </c>
    </row>
    <row r="98" spans="9:9" ht="15.75" customHeight="1" x14ac:dyDescent="0.25">
      <c r="I98" s="14" t="str">
        <f>MID(A5,4,3)</f>
        <v>APR</v>
      </c>
    </row>
    <row r="99" spans="9:9" ht="15.75" customHeight="1" x14ac:dyDescent="0.3">
      <c r="I99" s="13" t="str">
        <f>MID(A6,4,3)</f>
        <v>MAY</v>
      </c>
    </row>
    <row r="100" spans="9:9" ht="15.75" customHeight="1" x14ac:dyDescent="0.25">
      <c r="I100" s="14" t="str">
        <f>MID(A7,4,3)</f>
        <v>JUN</v>
      </c>
    </row>
    <row r="101" spans="9:9" ht="15.75" customHeight="1" x14ac:dyDescent="0.3">
      <c r="I101" s="13" t="str">
        <f>MID(A8,4,3)</f>
        <v>JUL</v>
      </c>
    </row>
    <row r="102" spans="9:9" ht="15.75" customHeight="1" x14ac:dyDescent="0.25">
      <c r="I102" s="14" t="str">
        <f>MID(A9,4,3)</f>
        <v>AUG</v>
      </c>
    </row>
    <row r="103" spans="9:9" ht="15.75" customHeight="1" x14ac:dyDescent="0.3">
      <c r="I103" s="13" t="str">
        <f>MID(A10,4,3)</f>
        <v>SEP</v>
      </c>
    </row>
    <row r="104" spans="9:9" ht="15.75" customHeight="1" x14ac:dyDescent="0.25">
      <c r="I104" s="14" t="str">
        <f>MID(A11,4,3)</f>
        <v>OCT</v>
      </c>
    </row>
    <row r="105" spans="9:9" ht="15.75" customHeight="1" x14ac:dyDescent="0.3">
      <c r="I105" s="13" t="str">
        <f>MID(A12,4,3)</f>
        <v>JUN</v>
      </c>
    </row>
    <row r="106" spans="9:9" ht="15.75" customHeight="1" x14ac:dyDescent="0.25">
      <c r="I106" s="14" t="str">
        <f>MID(A13,4,3)</f>
        <v>NOV</v>
      </c>
    </row>
    <row r="107" spans="9:9" ht="15.75" customHeight="1" x14ac:dyDescent="0.3">
      <c r="I107" s="13" t="str">
        <f>MID(A14,4,3)</f>
        <v>DEC</v>
      </c>
    </row>
    <row r="108" spans="9:9" ht="15.75" customHeight="1" x14ac:dyDescent="0.25">
      <c r="I108" s="14" t="str">
        <f>MID(A15,4,3)</f>
        <v>FEB</v>
      </c>
    </row>
    <row r="109" spans="9:9" ht="15.75" customHeight="1" x14ac:dyDescent="0.3">
      <c r="I109" s="13" t="str">
        <f>MID(A16,4,3)</f>
        <v>APR</v>
      </c>
    </row>
    <row r="110" spans="9:9" ht="15.75" customHeight="1" x14ac:dyDescent="0.25">
      <c r="I110" s="14" t="str">
        <f>MID(A17,4,3)</f>
        <v>AUG</v>
      </c>
    </row>
    <row r="111" spans="9:9" ht="15.75" customHeight="1" x14ac:dyDescent="0.3">
      <c r="I111" s="13" t="str">
        <f>MID(A18,4,3)</f>
        <v>AUG</v>
      </c>
    </row>
    <row r="112" spans="9:9" ht="15.75" customHeight="1" x14ac:dyDescent="0.25">
      <c r="I112" s="14" t="str">
        <f>MID(A19,4,3)</f>
        <v>JAN</v>
      </c>
    </row>
    <row r="113" spans="9:9" ht="15.75" customHeight="1" x14ac:dyDescent="0.3">
      <c r="I113" s="13" t="str">
        <f>MID(A20,4,3)</f>
        <v>MAR</v>
      </c>
    </row>
    <row r="114" spans="9:9" ht="15.75" customHeight="1" x14ac:dyDescent="0.25">
      <c r="I114" s="14" t="str">
        <f>MID(A21,4,3)</f>
        <v>AUG</v>
      </c>
    </row>
    <row r="115" spans="9:9" ht="15.75" customHeight="1" x14ac:dyDescent="0.3">
      <c r="I115" s="13" t="str">
        <f>MID(A22,4,3)</f>
        <v>MAY</v>
      </c>
    </row>
    <row r="116" spans="9:9" ht="15.75" customHeight="1" x14ac:dyDescent="0.25">
      <c r="I116" s="14" t="str">
        <f>MID(A23,4,3)</f>
        <v>JAN</v>
      </c>
    </row>
    <row r="117" spans="9:9" ht="15.75" customHeight="1" x14ac:dyDescent="0.3">
      <c r="I117" s="13" t="str">
        <f>MID(A24,4,3)</f>
        <v>JUL</v>
      </c>
    </row>
    <row r="118" spans="9:9" ht="15.75" customHeight="1" x14ac:dyDescent="0.25">
      <c r="I118" s="14" t="str">
        <f>MID(A25,4,3)</f>
        <v>AUG</v>
      </c>
    </row>
    <row r="119" spans="9:9" ht="15.75" customHeight="1" x14ac:dyDescent="0.3">
      <c r="I119" s="13" t="str">
        <f>MID(A26,4,3)</f>
        <v>SEP</v>
      </c>
    </row>
    <row r="120" spans="9:9" ht="15.75" customHeight="1" x14ac:dyDescent="0.25">
      <c r="I120" s="14" t="str">
        <f>MID(A27,4,3)</f>
        <v>JUN</v>
      </c>
    </row>
    <row r="121" spans="9:9" ht="15.75" customHeight="1" x14ac:dyDescent="0.3">
      <c r="I121" s="13" t="str">
        <f>MID(A28,4,3)</f>
        <v>JUL</v>
      </c>
    </row>
    <row r="122" spans="9:9" ht="15.75" customHeight="1" x14ac:dyDescent="0.25">
      <c r="I122" s="14" t="str">
        <f>MID(A29,4,3)</f>
        <v>APR</v>
      </c>
    </row>
    <row r="123" spans="9:9" ht="15.75" customHeight="1" x14ac:dyDescent="0.3">
      <c r="I123" s="13" t="str">
        <f>MID(A30,4,3)</f>
        <v>MAR</v>
      </c>
    </row>
    <row r="124" spans="9:9" ht="15.75" customHeight="1" x14ac:dyDescent="0.25">
      <c r="I124" s="14" t="str">
        <f>MID(A31,4,3)</f>
        <v>APR</v>
      </c>
    </row>
    <row r="125" spans="9:9" ht="15.75" customHeight="1" x14ac:dyDescent="0.3">
      <c r="I125" s="13" t="str">
        <f>MID(A32,4,3)</f>
        <v>MAY</v>
      </c>
    </row>
    <row r="126" spans="9:9" ht="15.75" customHeight="1" x14ac:dyDescent="0.25">
      <c r="I126" s="14" t="str">
        <f>MID(A33,4,3)</f>
        <v>DEC</v>
      </c>
    </row>
    <row r="127" spans="9:9" ht="15.75" customHeight="1" x14ac:dyDescent="0.3">
      <c r="I127" s="13" t="str">
        <f>MID(A34,4,3)</f>
        <v>JUN</v>
      </c>
    </row>
    <row r="128" spans="9:9" ht="15.75" customHeight="1" x14ac:dyDescent="0.25">
      <c r="I128" s="14" t="str">
        <f>MID(A35,4,3)</f>
        <v>JUL</v>
      </c>
    </row>
    <row r="129" spans="9:9" ht="15.75" customHeight="1" x14ac:dyDescent="0.3">
      <c r="I129" s="3"/>
    </row>
    <row r="130" spans="9:9" ht="15.75" customHeight="1" x14ac:dyDescent="0.25"/>
    <row r="131" spans="9:9" ht="15.75" customHeight="1" x14ac:dyDescent="0.3">
      <c r="I131" s="3"/>
    </row>
    <row r="132" spans="9:9" ht="15.75" customHeight="1" x14ac:dyDescent="0.25"/>
    <row r="133" spans="9:9" ht="15.75" customHeight="1" x14ac:dyDescent="0.3">
      <c r="I133" s="3"/>
    </row>
    <row r="134" spans="9:9" ht="15.75" customHeight="1" x14ac:dyDescent="0.25"/>
    <row r="135" spans="9:9" ht="15.75" customHeight="1" x14ac:dyDescent="0.3">
      <c r="I135" s="3"/>
    </row>
    <row r="136" spans="9:9" ht="15.75" customHeight="1" x14ac:dyDescent="0.25"/>
    <row r="137" spans="9:9" ht="15.75" customHeight="1" x14ac:dyDescent="0.3">
      <c r="I137" s="3"/>
    </row>
    <row r="138" spans="9:9" ht="15.75" customHeight="1" x14ac:dyDescent="0.25"/>
    <row r="139" spans="9:9" ht="15.75" customHeight="1" x14ac:dyDescent="0.3">
      <c r="I139" s="3"/>
    </row>
    <row r="140" spans="9:9" ht="15.75" customHeight="1" x14ac:dyDescent="0.25"/>
    <row r="141" spans="9:9" ht="15.75" customHeight="1" x14ac:dyDescent="0.3">
      <c r="I141" s="3"/>
    </row>
    <row r="142" spans="9:9" ht="15.75" customHeight="1" x14ac:dyDescent="0.25"/>
    <row r="143" spans="9:9" ht="15.75" customHeight="1" x14ac:dyDescent="0.3">
      <c r="I143" s="3"/>
    </row>
    <row r="144" spans="9:9" ht="15.75" customHeight="1" x14ac:dyDescent="0.25"/>
    <row r="145" spans="9:9" ht="15.75" customHeight="1" x14ac:dyDescent="0.3">
      <c r="I145" s="3"/>
    </row>
    <row r="146" spans="9:9" ht="15.75" customHeight="1" x14ac:dyDescent="0.25"/>
    <row r="147" spans="9:9" ht="15.75" customHeight="1" x14ac:dyDescent="0.3">
      <c r="I147" s="3"/>
    </row>
    <row r="148" spans="9:9" ht="15.75" customHeight="1" x14ac:dyDescent="0.25"/>
    <row r="149" spans="9:9" ht="15.75" customHeight="1" x14ac:dyDescent="0.3">
      <c r="I149" s="3"/>
    </row>
    <row r="150" spans="9:9" ht="15.75" customHeight="1" x14ac:dyDescent="0.25"/>
    <row r="151" spans="9:9" ht="15.75" customHeight="1" x14ac:dyDescent="0.25"/>
    <row r="152" spans="9:9" ht="15.75" customHeight="1" x14ac:dyDescent="0.25"/>
    <row r="153" spans="9:9" ht="15.75" customHeight="1" x14ac:dyDescent="0.25"/>
    <row r="154" spans="9:9" ht="15.75" customHeight="1" x14ac:dyDescent="0.25"/>
    <row r="155" spans="9:9" ht="15.75" customHeight="1" x14ac:dyDescent="0.25"/>
    <row r="156" spans="9:9" ht="15.75" customHeight="1" x14ac:dyDescent="0.25"/>
    <row r="157" spans="9:9" ht="15.75" customHeight="1" x14ac:dyDescent="0.25"/>
    <row r="158" spans="9:9" ht="15.75" customHeight="1" x14ac:dyDescent="0.25"/>
    <row r="159" spans="9:9" ht="15.75" customHeight="1" x14ac:dyDescent="0.25"/>
    <row r="160" spans="9:9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</sheetData>
  <pageMargins left="0.7" right="0.7" top="0.75" bottom="0.75" header="0.3" footer="0.3"/>
  <pageSetup orientation="portrait" r:id="rId1"/>
  <ignoredErrors>
    <ignoredError sqref="I61:I62 I65 I68 I71 I73 I75 I77 I79 I81 I83 I85 I87 I89 I91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2026-08-26T18:52:31Z</dcterms:modified>
</cp:coreProperties>
</file>